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3.xml" ContentType="application/vnd.openxmlformats-officedocument.drawing+xml"/>
  <Override PartName="/xl/slicers/slicer2.xml" ContentType="application/vnd.ms-excel.slicer+xml"/>
  <Override PartName="/xl/charts/chart22.xml" ContentType="application/vnd.openxmlformats-officedocument.drawingml.chart+xml"/>
  <Override PartName="/xl/charts/style24.xml" ContentType="application/vnd.ms-office.chartstyle+xml"/>
  <Override PartName="/xl/charts/colors24.xml" ContentType="application/vnd.ms-office.chartcolorstyle+xml"/>
  <Override PartName="/xl/charts/chart23.xml" ContentType="application/vnd.openxmlformats-officedocument.drawingml.chart+xml"/>
  <Override PartName="/xl/charts/style25.xml" ContentType="application/vnd.ms-office.chartstyle+xml"/>
  <Override PartName="/xl/charts/colors25.xml" ContentType="application/vnd.ms-office.chartcolorstyle+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charts/chart25.xml" ContentType="application/vnd.openxmlformats-officedocument.drawingml.chart+xml"/>
  <Override PartName="/xl/charts/style27.xml" ContentType="application/vnd.ms-office.chartstyle+xml"/>
  <Override PartName="/xl/charts/colors27.xml" ContentType="application/vnd.ms-office.chartcolorstyle+xml"/>
  <Override PartName="/xl/charts/chart26.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4.xml" ContentType="application/vnd.openxmlformats-officedocument.drawing+xml"/>
  <Override PartName="/xl/charts/chart27.xml" ContentType="application/vnd.openxmlformats-officedocument.drawingml.chart+xml"/>
  <Override PartName="/xl/charts/style29.xml" ContentType="application/vnd.ms-office.chartstyle+xml"/>
  <Override PartName="/xl/charts/colors29.xml" ContentType="application/vnd.ms-office.chartcolorstyle+xml"/>
  <Override PartName="/xl/charts/chart28.xml" ContentType="application/vnd.openxmlformats-officedocument.drawingml.chart+xml"/>
  <Override PartName="/xl/charts/style30.xml" ContentType="application/vnd.ms-office.chartstyle+xml"/>
  <Override PartName="/xl/charts/colors30.xml" ContentType="application/vnd.ms-office.chartcolorstyle+xml"/>
  <Override PartName="/xl/charts/chart29.xml" ContentType="application/vnd.openxmlformats-officedocument.drawingml.chart+xml"/>
  <Override PartName="/xl/charts/style31.xml" ContentType="application/vnd.ms-office.chartstyle+xml"/>
  <Override PartName="/xl/charts/colors31.xml" ContentType="application/vnd.ms-office.chartcolorstyle+xml"/>
  <Override PartName="/xl/charts/chart30.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5.xml" ContentType="application/vnd.openxmlformats-officedocument.drawing+xml"/>
  <Override PartName="/xl/slicers/slicer3.xml" ContentType="application/vnd.ms-excel.slicer+xml"/>
  <Override PartName="/xl/charts/chart31.xml" ContentType="application/vnd.openxmlformats-officedocument.drawingml.chart+xml"/>
  <Override PartName="/xl/charts/style33.xml" ContentType="application/vnd.ms-office.chartstyle+xml"/>
  <Override PartName="/xl/charts/colors33.xml" ContentType="application/vnd.ms-office.chartcolorstyle+xml"/>
  <Override PartName="/xl/charts/chart32.xml" ContentType="application/vnd.openxmlformats-officedocument.drawingml.chart+xml"/>
  <Override PartName="/xl/charts/style34.xml" ContentType="application/vnd.ms-office.chartstyle+xml"/>
  <Override PartName="/xl/charts/colors34.xml" ContentType="application/vnd.ms-office.chartcolorstyle+xml"/>
  <Override PartName="/xl/charts/chart33.xml" ContentType="application/vnd.openxmlformats-officedocument.drawingml.chart+xml"/>
  <Override PartName="/xl/charts/style35.xml" ContentType="application/vnd.ms-office.chartstyle+xml"/>
  <Override PartName="/xl/charts/colors35.xml" ContentType="application/vnd.ms-office.chartcolorstyle+xml"/>
  <Override PartName="/xl/charts/chart34.xml" ContentType="application/vnd.openxmlformats-officedocument.drawingml.chart+xml"/>
  <Override PartName="/xl/charts/style36.xml" ContentType="application/vnd.ms-office.chartstyle+xml"/>
  <Override PartName="/xl/charts/colors36.xml" ContentType="application/vnd.ms-office.chartcolorstyle+xml"/>
  <Override PartName="/xl/charts/chart35.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6.xml" ContentType="application/vnd.openxmlformats-officedocument.drawing+xml"/>
  <Override PartName="/xl/slicers/slicer4.xml" ContentType="application/vnd.ms-excel.slicer+xml"/>
  <Override PartName="/xl/charts/chart36.xml" ContentType="application/vnd.openxmlformats-officedocument.drawingml.chart+xml"/>
  <Override PartName="/xl/charts/style38.xml" ContentType="application/vnd.ms-office.chartstyle+xml"/>
  <Override PartName="/xl/charts/colors38.xml" ContentType="application/vnd.ms-office.chartcolorstyle+xml"/>
  <Override PartName="/xl/charts/chart37.xml" ContentType="application/vnd.openxmlformats-officedocument.drawingml.chart+xml"/>
  <Override PartName="/xl/charts/style39.xml" ContentType="application/vnd.ms-office.chartstyle+xml"/>
  <Override PartName="/xl/charts/colors39.xml" ContentType="application/vnd.ms-office.chartcolorstyle+xml"/>
  <Override PartName="/xl/charts/chart38.xml" ContentType="application/vnd.openxmlformats-officedocument.drawingml.chart+xml"/>
  <Override PartName="/xl/charts/style40.xml" ContentType="application/vnd.ms-office.chartstyle+xml"/>
  <Override PartName="/xl/charts/colors40.xml" ContentType="application/vnd.ms-office.chartcolorstyle+xml"/>
  <Override PartName="/xl/charts/chart39.xml" ContentType="application/vnd.openxmlformats-officedocument.drawingml.chart+xml"/>
  <Override PartName="/xl/charts/style41.xml" ContentType="application/vnd.ms-office.chartstyle+xml"/>
  <Override PartName="/xl/charts/colors41.xml" ContentType="application/vnd.ms-office.chartcolorstyle+xml"/>
  <Override PartName="/xl/charts/chart40.xml" ContentType="application/vnd.openxmlformats-officedocument.drawingml.chart+xml"/>
  <Override PartName="/xl/charts/style42.xml" ContentType="application/vnd.ms-office.chartstyle+xml"/>
  <Override PartName="/xl/charts/colors42.xml" ContentType="application/vnd.ms-office.chartcolorstyle+xml"/>
  <Override PartName="/xl/charts/chartEx3.xml" ContentType="application/vnd.ms-office.chartex+xml"/>
  <Override PartName="/xl/charts/style43.xml" ContentType="application/vnd.ms-office.chartstyle+xml"/>
  <Override PartName="/xl/charts/colors4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202300"/>
  <mc:AlternateContent xmlns:mc="http://schemas.openxmlformats.org/markup-compatibility/2006">
    <mc:Choice Requires="x15">
      <x15ac:absPath xmlns:x15ac="http://schemas.microsoft.com/office/spreadsheetml/2010/11/ac" url="C:\Users\franc\Documents\"/>
    </mc:Choice>
  </mc:AlternateContent>
  <xr:revisionPtr revIDLastSave="0" documentId="13_ncr:9_{EA0B3ED2-B486-47E4-B1FB-F6F0B8DAA640}" xr6:coauthVersionLast="47" xr6:coauthVersionMax="47" xr10:uidLastSave="{00000000-0000-0000-0000-000000000000}"/>
  <bookViews>
    <workbookView xWindow="-110" yWindow="-110" windowWidth="19420" windowHeight="10300" tabRatio="832" xr2:uid="{F537AA94-8AC6-42C3-8C68-2AF398B03339}"/>
  </bookViews>
  <sheets>
    <sheet name="AI_Usage_and_Impact_on_Students" sheetId="1" r:id="rId1"/>
    <sheet name="EDA PT" sheetId="2" r:id="rId2"/>
    <sheet name="Time Saving analysis" sheetId="6" r:id="rId3"/>
    <sheet name="Productivity Analysis" sheetId="5" r:id="rId4"/>
    <sheet name="AI usage Patterns" sheetId="4" r:id="rId5"/>
    <sheet name="Demographic Analysis" sheetId="3" r:id="rId6"/>
  </sheets>
  <definedNames>
    <definedName name="_xlchart.v1.0" hidden="1">AI_Usage_and_Impact_on_Students!$AC$2:$AC$10</definedName>
    <definedName name="_xlchart.v1.1" hidden="1">AI_Usage_and_Impact_on_Students!$AD$1</definedName>
    <definedName name="_xlchart.v1.10" hidden="1">AI_Usage_and_Impact_on_Students!$AA$2:$AA$10</definedName>
    <definedName name="_xlchart.v1.11" hidden="1">AI_Usage_and_Impact_on_Students!$Z$2:$Z$10</definedName>
    <definedName name="_xlchart.v1.2" hidden="1">AI_Usage_and_Impact_on_Students!$AD$2:$AD$10</definedName>
    <definedName name="_xlchart.v1.3" hidden="1">AI_Usage_and_Impact_on_Students!$AC$2:$AC$10</definedName>
    <definedName name="_xlchart.v1.4" hidden="1">AI_Usage_and_Impact_on_Students!$AD$1</definedName>
    <definedName name="_xlchart.v1.5" hidden="1">AI_Usage_and_Impact_on_Students!$AD$2:$AD$10</definedName>
    <definedName name="_xlchart.v1.6" hidden="1">AI_Usage_and_Impact_on_Students!$AC$2:$AC$10</definedName>
    <definedName name="_xlchart.v1.7" hidden="1">AI_Usage_and_Impact_on_Students!$AD$1</definedName>
    <definedName name="_xlchart.v1.8" hidden="1">AI_Usage_and_Impact_on_Students!$AD$2:$AD$10</definedName>
    <definedName name="_xlchart.v1.9" hidden="1">AI_Usage_and_Impact_on_Students!$AA$1</definedName>
    <definedName name="Slicer_AI_Tool">#N/A</definedName>
    <definedName name="Slicer_AI_Tool1">#N/A</definedName>
    <definedName name="Slicer_Country">#N/A</definedName>
    <definedName name="Slicer_Country2">#N/A</definedName>
    <definedName name="Slicer_Gender">#N/A</definedName>
    <definedName name="Slicer_Profession">#N/A</definedName>
  </definedNames>
  <calcPr calcId="0"/>
  <pivotCaches>
    <pivotCache cacheId="213"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V2" i="1" l="1"/>
  <c r="AA2" i="1"/>
  <c r="Z2" i="1"/>
  <c r="Y2" i="1"/>
  <c r="X2" i="1"/>
  <c r="W2" i="1"/>
  <c r="U2" i="1"/>
</calcChain>
</file>

<file path=xl/sharedStrings.xml><?xml version="1.0" encoding="utf-8"?>
<sst xmlns="http://schemas.openxmlformats.org/spreadsheetml/2006/main" count="3169" uniqueCount="788">
  <si>
    <t>User_ID</t>
  </si>
  <si>
    <t>Age</t>
  </si>
  <si>
    <t>Gender</t>
  </si>
  <si>
    <t>Country</t>
  </si>
  <si>
    <t>User_Type</t>
  </si>
  <si>
    <t>Education_Level</t>
  </si>
  <si>
    <t>Profession</t>
  </si>
  <si>
    <t>Monthly_Income</t>
  </si>
  <si>
    <t>AI_Tool</t>
  </si>
  <si>
    <t>AI_Purpose</t>
  </si>
  <si>
    <t>AI_Usage_Hours_Per_Day</t>
  </si>
  <si>
    <t>Tasks_Performed</t>
  </si>
  <si>
    <t>Monthly_AI_Cost</t>
  </si>
  <si>
    <t>Productivity_Score</t>
  </si>
  <si>
    <t>Accuracy_Rating</t>
  </si>
  <si>
    <t>Satisfaction_Score</t>
  </si>
  <si>
    <t>Time_Saved_Hours_Per_Week</t>
  </si>
  <si>
    <t>Work_or_Study_Hours_Per_Day</t>
  </si>
  <si>
    <t>Would_Recommend</t>
  </si>
  <si>
    <t>U0269</t>
  </si>
  <si>
    <t>Male</t>
  </si>
  <si>
    <t>United Kingdom</t>
  </si>
  <si>
    <t>Professional</t>
  </si>
  <si>
    <t>Master's</t>
  </si>
  <si>
    <t>Business Analyst</t>
  </si>
  <si>
    <t>Office Work</t>
  </si>
  <si>
    <t>Data analysis using AI-powered analytics tools, automated report generation, process optimization modelling, AI-assisted business intelligence reporting</t>
  </si>
  <si>
    <t>Yes</t>
  </si>
  <si>
    <t>U0217</t>
  </si>
  <si>
    <t>United States</t>
  </si>
  <si>
    <t>Bachelor's</t>
  </si>
  <si>
    <t>Customer Support Specialist</t>
  </si>
  <si>
    <t>Customer Support</t>
  </si>
  <si>
    <t>Resolving customer inquiries using AI chatbot platforms, drafting personalized email responses with AI writing assistants, analyzing customer sentiment with AI tools, managing support tickets with AI-powered ticketing systems</t>
  </si>
  <si>
    <t>U0152</t>
  </si>
  <si>
    <t>Canada</t>
  </si>
  <si>
    <t>Student</t>
  </si>
  <si>
    <t>Computer Science Student</t>
  </si>
  <si>
    <t>Chat GPT</t>
  </si>
  <si>
    <t>Coding</t>
  </si>
  <si>
    <t>No</t>
  </si>
  <si>
    <t>U0264</t>
  </si>
  <si>
    <t>Brazil</t>
  </si>
  <si>
    <t>Desenvolvedora de Software / Software Developer</t>
  </si>
  <si>
    <t>Meta AI</t>
  </si>
  <si>
    <t>Usar GitHub Copilot para autocompletar c��digo, debugar aplica����es com assist��ncia de IA, otimizar algoritmos com sugest��es de IA, revisar e refatorar c��digo existente</t>
  </si>
  <si>
    <t>Maybe</t>
  </si>
  <si>
    <t>U0263</t>
  </si>
  <si>
    <t>Female</t>
  </si>
  <si>
    <t>Undergraduate</t>
  </si>
  <si>
    <t>Biology Student</t>
  </si>
  <si>
    <t>Perplexity AI</t>
  </si>
  <si>
    <t>Using AI to generate study summaries for exam preparation, getting help with practice problem solutions, organizing research paper notes</t>
  </si>
  <si>
    <t>U0225</t>
  </si>
  <si>
    <t>Business Analytics Student</t>
  </si>
  <si>
    <t>Data Analysis</t>
  </si>
  <si>
    <t>Statistical analysis on datasets, data visualization with Python libraries, predictive modeling for coursework, business intelligence report generation</t>
  </si>
  <si>
    <t>U0246</t>
  </si>
  <si>
    <t>D��veloppeur Full Stack</t>
  </si>
  <si>
    <t>Automated code review with AI-powered linters, Generated boilerplate code and API endpoints using GitHub Copilot, Debugged complex algorithms with AI assistance, Optimized database queries using AI suggestions</t>
  </si>
  <si>
    <t>U0177</t>
  </si>
  <si>
    <t>Philippines</t>
  </si>
  <si>
    <t>High School</t>
  </si>
  <si>
    <t>Social Media Content Creator</t>
  </si>
  <si>
    <t>Content Creation</t>
  </si>
  <si>
    <t>Creating Instagram/TikTok captions with AI writing tools, Generating YouTube thumbnails and video descriptions using AI design assistants, Editing photos and videos with AI-powered software</t>
  </si>
  <si>
    <t>U0207</t>
  </si>
  <si>
    <t>Digital Media Production Student</t>
  </si>
  <si>
    <t>Claude</t>
  </si>
  <si>
    <t>Creating YouTube video scripts, Designing social media graphics with AI image generators, Writing blog content for tech topics</t>
  </si>
  <si>
    <t>U0167</t>
  </si>
  <si>
    <t>Writing</t>
  </si>
  <si>
    <t>Email copywriting, Social media post creation, Blog article drafting, Product description writing</t>
  </si>
  <si>
    <t>U0135</t>
  </si>
  <si>
    <t>Pakistan</t>
  </si>
  <si>
    <t>Research Analyst</t>
  </si>
  <si>
    <t>Research</t>
  </si>
  <si>
    <t>Literature review and synthesis using AI-powered databases, Data analysis and pattern recognition, Research paper writing and academic content generation</t>
  </si>
  <si>
    <t>U0211</t>
  </si>
  <si>
    <t>Mechanical Engineering Student</t>
  </si>
  <si>
    <t>Literature review and paper summarization, Data analysis for lab experiments, Generating research hypotheses, Technical documentation and report writing</t>
  </si>
  <si>
    <t>U0114</t>
  </si>
  <si>
    <t>Australia</t>
  </si>
  <si>
    <t>Software Developer</t>
  </si>
  <si>
    <t>Using AI code completion tools for writing Python functions, debugging code with AI-assisted analysis, generating unit test cases with AI tools</t>
  </si>
  <si>
    <t>U0191</t>
  </si>
  <si>
    <t>Software Engineering Student</t>
  </si>
  <si>
    <t>Debugging code with AI assistance, generating code snippets for assignments, learning programming concepts through AI explanations</t>
  </si>
  <si>
    <t>U0035</t>
  </si>
  <si>
    <t>Data Analyst</t>
  </si>
  <si>
    <t>Automated data cleaning and processing with Python scripts, building predictive models using machine learning algorithms, generating interactive dashboards and visualizations in Power BI</t>
  </si>
  <si>
    <t>U0138</t>
  </si>
  <si>
    <t>U0059</t>
  </si>
  <si>
    <t>Customer Service Representative</t>
  </si>
  <si>
    <t>Responding to customer inquiries via AI chatbots, drafting personalized support emails using AI writing assistants, resolving common technical issues with AI-guided troubleshooting scripts</t>
  </si>
  <si>
    <t>U0215</t>
  </si>
  <si>
    <t>India</t>
  </si>
  <si>
    <t>English Literature Student</t>
  </si>
  <si>
    <t>Drafting research papers on literary analysis, brainstorming essay outlines, proofreading and refining academic writing, generating content summaries for thesis work</t>
  </si>
  <si>
    <t>U0228</t>
  </si>
  <si>
    <t>Kenya</t>
  </si>
  <si>
    <t>Literature review for lab reports, summarizing research papers on molecular genetics, generating study notes from scientific articles</t>
  </si>
  <si>
    <t>U0046</t>
  </si>
  <si>
    <t>Nigeria</t>
  </si>
  <si>
    <t>Diploma</t>
  </si>
  <si>
    <t>Research Technician</t>
  </si>
  <si>
    <t>Literature review synthesis using AI search tools, Data analysis and statistical reporting with AI-assisted tools, Survey data organization and preliminary findings documentation</t>
  </si>
  <si>
    <t>U0176</t>
  </si>
  <si>
    <t>AI-Powered Customer Support Executive</t>
  </si>
  <si>
    <t>AI chatbot management and customer query routing, multilingual customer response handling using AI tools, customer complaint analysis and resolution tracking</t>
  </si>
  <si>
    <t>U0227</t>
  </si>
  <si>
    <t>Essay structuring and outline generation, thesis statement refinement, academic paper proofreading and grammar checking, creative writing brainstorming</t>
  </si>
  <si>
    <t>U0198</t>
  </si>
  <si>
    <t>Germany</t>
  </si>
  <si>
    <t>Kundenservice-Spezialistin / Customer Service Specialist</t>
  </si>
  <si>
    <t>U0141</t>
  </si>
  <si>
    <t>Grammarly</t>
  </si>
  <si>
    <t>Debugging Python code with AI assistants, generating boilerplate code for web projects, learning algorithms through AI-generated explanations</t>
  </si>
  <si>
    <t>U0205</t>
  </si>
  <si>
    <t>Studying</t>
  </si>
  <si>
    <t>Analyzing complex physics problems, generating study notes from lecture content, debugging code for coursework projects, creating visual explanations of thermodynamic concepts</t>
  </si>
  <si>
    <t>U0209</t>
  </si>
  <si>
    <t>Digital Content Creator</t>
  </si>
  <si>
    <t>Generating social media captions with AI, Creating blog post drafts using language models, Editing photos and videos with AI tools, Scheduling posts across multiple platforms</t>
  </si>
  <si>
    <t>U0149</t>
  </si>
  <si>
    <t>Writing and debugging Python code, generating documentation for projects, optimizing algorithms</t>
  </si>
  <si>
    <t>U0179</t>
  </si>
  <si>
    <t>Pesquisador de Mercado</t>
  </si>
  <si>
    <t>An��lise de tend��ncias usando ferramentas de IA, extra����o de dados de fontes p��blicas, gera����o de relat��rios automatizados, s��ntese de artigos acad��micos</t>
  </si>
  <si>
    <t>U0016</t>
  </si>
  <si>
    <t>Using AI to generate practice exam questions, summarizing research papers, explaining complex concepts like cellular respiration</t>
  </si>
  <si>
    <t>U0132</t>
  </si>
  <si>
    <t>Business Administration Student</t>
  </si>
  <si>
    <t>Literature review and source compilation, Data analysis and statistical interpretation, Essay research and citation management</t>
  </si>
  <si>
    <t>U0008</t>
  </si>
  <si>
    <t>Essay composition and structure planning, grammar checking and proofreading, research paper summarization, creative writing feedback and editing</t>
  </si>
  <si>
    <t>U0162</t>
  </si>
  <si>
    <t>DeepSeek</t>
  </si>
  <si>
    <t>Literature review automation using AI databases, conducting qualitative data analysis with AI tools, generating research reports and summaries, market research data collection and synthesis</t>
  </si>
  <si>
    <t>U0081</t>
  </si>
  <si>
    <t>Research Assistant</t>
  </si>
  <si>
    <t>Literature review using AI search tools, data analysis with AI-powered statistical software, market research report generation, academic paper summarization</t>
  </si>
  <si>
    <t>U0014</t>
  </si>
  <si>
    <t>high school</t>
  </si>
  <si>
    <t>Engineering Student</t>
  </si>
  <si>
    <t>Solving physics problems with AI explanation, generating practice questions for exams, translating complex concepts into simplified notes</t>
  </si>
  <si>
    <t>U0278</t>
  </si>
  <si>
    <t>Generating practice problems and solutions for thermodynamics assignments, debugging Python code for finite element analysis projects, summarizing lecture notes on fluid mechanics concepts</t>
  </si>
  <si>
    <t>U0102</t>
  </si>
  <si>
    <t>Information Technology Student</t>
  </si>
  <si>
    <t>U0258</t>
  </si>
  <si>
    <t>Literature review and paper summarization, Data analysis and interpretation, Research proposal drafting, Scientific article finding and organization</t>
  </si>
  <si>
    <t>U0239</t>
  </si>
  <si>
    <t>Senior Software Engineer</t>
  </si>
  <si>
    <t>Code review and optimization using AI assistants, automated bug detection and debugging with AI tools, AI-assisted documentation generation, infrastructure code maintenance</t>
  </si>
  <si>
    <t>U0071</t>
  </si>
  <si>
    <t>Data Analytics Manager</t>
  </si>
  <si>
    <t>Building predictive models with Python and scikit-learn, Creating business intelligence dashboards in Tableau, Performing statistical analysis on customer datasets</t>
  </si>
  <si>
    <t>U0259</t>
  </si>
  <si>
    <t>Engenheiro de Software S��nior / Tech Lead</t>
  </si>
  <si>
    <t>Desenvolvimento de algoritmos com assist��ncia de IA, code review automatizado com ferramentas de IA, arquitetura de sistemas de software, mentoria de equipes em pr��ticas de desenvolvimento com IA</t>
  </si>
  <si>
    <t>U0075</t>
  </si>
  <si>
    <t>Content Writer</t>
  </si>
  <si>
    <t>Drafting blog posts and articles with AI writing assistants, using AI tools to brainstorm content ideas and outline structures, editing and refining generated content for tone and accuracy</t>
  </si>
  <si>
    <t>U0288</t>
  </si>
  <si>
    <t>Senior Software Engineer / Technical Lead</t>
  </si>
  <si>
    <t>Code generation and debugging using AI, automated code review and optimization, rapid prototyping using AI-assisted development frameworks, API design and documentation using AI tools</t>
  </si>
  <si>
    <t>U0271</t>
  </si>
  <si>
    <t>Code debugging and optimization using AI assistants, automated test case generation, API integration and documentation, algorithm optimization suggestions</t>
  </si>
  <si>
    <t>U0070</t>
  </si>
  <si>
    <t>Using AI to solve physics problems, generating study summaries for calculus, translating technical documents from English to Portuguese</t>
  </si>
  <si>
    <t>U0054</t>
  </si>
  <si>
    <t>Debugging code with AI assistants, Learning Python and JavaScript syntax, Solving LeetCode problems with AI explanations</t>
  </si>
  <si>
    <t>U0164</t>
  </si>
  <si>
    <t>Research Scientist/Senior Research Officer</t>
  </si>
  <si>
    <t>Literature review automation with AI tools, data analysis and pattern recognition, research paper synthesis and summarization, hypothesis validation using machine learning models</t>
  </si>
  <si>
    <t>U0219</t>
  </si>
  <si>
    <t>Artificial Intelligence and Machine Learning Student</t>
  </si>
  <si>
    <t>Gemini</t>
  </si>
  <si>
    <t>Debugging Python code with AI-powered IDE plugins, Generating optimization algorithms for data structures, Writing and testing unit tests for complex modules</t>
  </si>
  <si>
    <t>U0036</t>
  </si>
  <si>
    <t>Content Strategy Manager</t>
  </si>
  <si>
    <t>Uses AI tools to generate initial content drafts, optimize SEO metadata and headlines, streamline editing and proofreading processes, manage multi-channel content calendars</t>
  </si>
  <si>
    <t>U0057</t>
  </si>
  <si>
    <t>Essay composition and structure planning, grammar and spelling correction, brainstorming ideas for creative writing assignments</t>
  </si>
  <si>
    <t>U0060</t>
  </si>
  <si>
    <t>Literature review and paper summarization, Data analysis for research datasets, Academic paper organization and citation management</t>
  </si>
  <si>
    <t>U0226</t>
  </si>
  <si>
    <t>Social Media Content Creator / Digital Marketer</t>
  </si>
  <si>
    <t>Creating engaging social media posts with AI writing tools, Generating captions and hashtags using AI, Editing and optimizing images with AI-powered design tools, Producing video content summaries and descriptions</t>
  </si>
  <si>
    <t>U0118</t>
  </si>
  <si>
    <t>France</t>
  </si>
  <si>
    <t>Responsable de Contenu Digital</t>
  </si>
  <si>
    <t>Cr��ation d'articles de blog avec assistance IA, G��n��ration de contenu pour r��seaux sociaux, Optimisation SEO avec outils IA, ��dition et r��vision de textes</t>
  </si>
  <si>
    <t>U0028</t>
  </si>
  <si>
    <t>Other</t>
  </si>
  <si>
    <t>Essay drafting and outline generation, academic paper research summarization, creative writing feedback and editing</t>
  </si>
  <si>
    <t>U0125</t>
  </si>
  <si>
    <t>Debugging Python code with AI code analysis, Writing SQL queries for database projects, Generating HTML/CSS templates for web assignments</t>
  </si>
  <si>
    <t>U0223</t>
  </si>
  <si>
    <t>Marketing Communications Officer</t>
  </si>
  <si>
    <t>AI-assisted content writing for social media and marketing campaigns, proofreading and editing copy with AI grammar tools, generating email newsletters and promotional materials</t>
  </si>
  <si>
    <t>U0243</t>
  </si>
  <si>
    <t>Drafting customer responses using AI writing assistants, analyzing customer feedback with sentiment analysis tools, resolving FAQs using AI knowledge base systems, escalating complex issues to senior staff</t>
  </si>
  <si>
    <t>U0165</t>
  </si>
  <si>
    <t>Using AI to solve physics and calculus problems, generating practice exam questions, translating technical documentation from English to Portuguese</t>
  </si>
  <si>
    <t>U0238</t>
  </si>
  <si>
    <t>Digital Media Student</t>
  </si>
  <si>
    <t>Creating social media graphics with AI design tools, Writing blog posts and articles with AI writing assistants, Generating video scripts and editing content with AI video tools</t>
  </si>
  <si>
    <t>U0069</t>
  </si>
  <si>
    <t>Content Marketing Manager</t>
  </si>
  <si>
    <t>Creating blog posts and web copy with AI writing assistants, editing and refining client proposals, generating social media content calendars and posts</t>
  </si>
  <si>
    <t>U0092</t>
  </si>
  <si>
    <t>Statistical analysis of datasets, data visualization using Python libraries, predictive modeling with machine learning algorithms, database query optimization</t>
  </si>
  <si>
    <t>U0043</t>
  </si>
  <si>
    <t>U0084</t>
  </si>
  <si>
    <t>Business Intelligence Analyst</t>
  </si>
  <si>
    <t>Cleaning and processing customer transaction data, generating sales trend reports using Python, creating data visualizations in Power BI dashboards</t>
  </si>
  <si>
    <t>U0061</t>
  </si>
  <si>
    <t>Desenvolvedor de Software S��nior</t>
  </si>
  <si>
    <t>Usar GitHub Copilot para completar c��digo, gerar testes unit��rios com IA, otimizar algoritmos com sugest��es de IA, revisar e debugar c��digo com assistentes de IA</t>
  </si>
  <si>
    <t>U0116</t>
  </si>
  <si>
    <t>Digital Media and Communications Student</t>
  </si>
  <si>
    <t>AI-assisted blog writing and SEO optimization, video scriptwriting and thumbnail design generation, social media content creation and caption generation</t>
  </si>
  <si>
    <t>U0039</t>
  </si>
  <si>
    <t>Bioinformatics Student</t>
  </si>
  <si>
    <t>Literature review automation with AI summarization, designing research methodology frameworks, analyzing genomic datasets using machine learning models, peer review preparation assistance</t>
  </si>
  <si>
    <t>U0022</t>
  </si>
  <si>
    <t>Writing and debugging Python code using AI assistants, automating repetitive coding tasks with AI tools, code review and optimization with AI-powered suggestions</t>
  </si>
  <si>
    <t>U0137</t>
  </si>
  <si>
    <t>Code debugging and optimization, API development and integration, machine learning model training and implementation</t>
  </si>
  <si>
    <t>U0027</t>
  </si>
  <si>
    <t>Debugging code with AI assistance, generating boilerplate code for projects, learning new programming concepts through AI explanations</t>
  </si>
  <si>
    <t>U0268</t>
  </si>
  <si>
    <t>Using AI to generate study summaries, practice exam questions, and lab report writing assistance</t>
  </si>
  <si>
    <t>U0131</t>
  </si>
  <si>
    <t>Administrative Assistant</t>
  </si>
  <si>
    <t>Data entry and document formatting with AI tools, scheduling meetings and managing calendar using AI assistants, generating business reports with AI summarization software, proofreading emails and correspondence using grammar AI</t>
  </si>
  <si>
    <t>U0255</t>
  </si>
  <si>
    <t>Code generation and debugging with AI assistants, automated testing and deployment pipeline optimization, machine learning model implementation and optimization</t>
  </si>
  <si>
    <t>U0231</t>
  </si>
  <si>
    <t>Building predictive models with machine learning algorithms, Creating automated dashboards for business intelligence, Cleaning and transforming large datasets for analysis</t>
  </si>
  <si>
    <t>U0067</t>
  </si>
  <si>
    <t>Biotechnology Student</t>
  </si>
  <si>
    <t>Literature review automation, research paper summarization, data analysis and visualization, hypothesis generation</t>
  </si>
  <si>
    <t>U0234</t>
  </si>
  <si>
    <t>Essay composition and structure planning, grammar and style checking, research paper organization, content brainstorming for creative writing assignments</t>
  </si>
  <si>
    <t>U0184</t>
  </si>
  <si>
    <t>Senior Software Engineer / AI Solutions Architect</t>
  </si>
  <si>
    <t>U0096</t>
  </si>
  <si>
    <t>Environmental Science Student</t>
  </si>
  <si>
    <t>U0274</t>
  </si>
  <si>
    <t>Running SQL queries and Python scripts to extract and clean datasets, Creating interactive dashboards and visualizations in Tableau, Performing statistical analysis and generating insights reports</t>
  </si>
  <si>
    <t>U0192</t>
  </si>
  <si>
    <t>U0113</t>
  </si>
  <si>
    <t>Senior Software Developer / Softwareentwicklerin</t>
  </si>
  <si>
    <t>Code generation and optimization using AI assistants, automated testing and bug detection with AI tools, documentation generation from code comments, refactoring legacy code with AI suggestions</t>
  </si>
  <si>
    <t>U0254</t>
  </si>
  <si>
    <t>Customer Support Manager</t>
  </si>
  <si>
    <t>Using AI chatbots to handle routine customer inquiries, training support staff on AI tools, monitoring AI-assisted ticket resolution quality</t>
  </si>
  <si>
    <t>U0171</t>
  </si>
  <si>
    <t>Data Entry Specialist</t>
  </si>
  <si>
    <t>Organizing customer datasets with Excel and Python scripts, creating automated reports using AI-powered analytics tools, cleaning and validating data quality for business intelligence dashboards</t>
  </si>
  <si>
    <t>U0088</t>
  </si>
  <si>
    <t>Data Entry Operator</t>
  </si>
  <si>
    <t>Data cleaning and validation using Python scripts, Excel spreadsheet automation with AI tools, generating automated reports from raw datasets</t>
  </si>
  <si>
    <t>U0127</t>
  </si>
  <si>
    <t>Artificial Intelligence Research Student</t>
  </si>
  <si>
    <t>Literature review and paper summarization, debugging and optimizing machine learning code, generating research hypotheses and experiment design, analyzing complex datasets and statistical modeling</t>
  </si>
  <si>
    <t>U0108</t>
  </si>
  <si>
    <t>Digital Content Strategist</t>
  </si>
  <si>
    <t>AI-assisted blog writing and SEO optimization, social media caption generation, video script creation with AI tools, content calendar planning using AI analytics</t>
  </si>
  <si>
    <t>U0055</t>
  </si>
  <si>
    <t>Code review and optimization using AI assistants, automated testing and debugging with AI tools, API development and integration, documentation generation</t>
  </si>
  <si>
    <t>U0251</t>
  </si>
  <si>
    <t>Molecular Biology Student</t>
  </si>
  <si>
    <t>Literature review and scientific paper analysis, data analysis and statistical interpretation, hypothesis generation and research methodology planning</t>
  </si>
  <si>
    <t>U0248</t>
  </si>
  <si>
    <t>Senior Content Strategist</t>
  </si>
  <si>
    <t>Generating blog content using AI writing assistants, creating social media copy with AI tools, editing and refining multimedia content with AI enhancement software, developing content calendars and briefs</t>
  </si>
  <si>
    <t>U0107</t>
  </si>
  <si>
    <t>Senior Machine Learning Engineer</t>
  </si>
  <si>
    <t>Code generation and debugging with AI assistants, algorithm optimization using neural networks, automated testing and code review with AI tools</t>
  </si>
  <si>
    <t>U0194</t>
  </si>
  <si>
    <t>Senior Data Scientist</t>
  </si>
  <si>
    <t>Building predictive models using machine learning, Processing large datasets with Python/SQL, Creating automated dashboards and reports, Performing statistical analysis on business metrics</t>
  </si>
  <si>
    <t>U0026</t>
  </si>
  <si>
    <t>Email management and scheduling with AI tools, Document formatting and data entry using automation software, Report generation and analysis with spreadsheet AI features</t>
  </si>
  <si>
    <t>U0095</t>
  </si>
  <si>
    <t>Content Strategist &amp; Technical Writer</t>
  </si>
  <si>
    <t>AI-assisted article writing and research, document translation and localization, automated report generation, editing and proofreading with AI tools</t>
  </si>
  <si>
    <t>U0120</t>
  </si>
  <si>
    <t>Electronics Engineering Student</t>
  </si>
  <si>
    <t>Using AI to solve complex circuit problems, generating practice exam questions with solutions, summarizing technical textbooks and research papers</t>
  </si>
  <si>
    <t>U0049</t>
  </si>
  <si>
    <t>Junior Software Developer</t>
  </si>
  <si>
    <t>Writing Python scripts with AI code completion, debugging code errors using ChatGPT, generating SQL queries for database management, refactoring JavaScript functions with AI assistance</t>
  </si>
  <si>
    <t>U0032</t>
  </si>
  <si>
    <t>German Literature Student</t>
  </si>
  <si>
    <t>Essay structure planning, grammar and spelling correction, essay topic research, writing feedback and revision suggestions</t>
  </si>
  <si>
    <t>U0073</t>
  </si>
  <si>
    <t>Literature review and paper summarization, Data analysis for research projects, Hypothesis generation for experiments, Academic writing and citation organization</t>
  </si>
  <si>
    <t>U0007</t>
  </si>
  <si>
    <t>Machine Learning Research Student</t>
  </si>
  <si>
    <t>Literature review and paper summarization, Training neural networks for experimental validation, Data analysis and statistical modeling</t>
  </si>
  <si>
    <t>U0285</t>
  </si>
  <si>
    <t>U0221</t>
  </si>
  <si>
    <t>Software Development Student</t>
  </si>
  <si>
    <t>Debugging Python code with AI assistance, generating boilerplate code templates, learning JavaScript syntax through AI explanations</t>
  </si>
  <si>
    <t>U0279</t>
  </si>
  <si>
    <t>Senior Software Developer</t>
  </si>
  <si>
    <t>Code review and debugging using AI assistants, automated testing script generation, documentation and comment generation, API integration optimization</t>
  </si>
  <si>
    <t>U0222</t>
  </si>
  <si>
    <t>Using AI to explain complex concepts like cellular respiration and photosynthesis, generating practice questions for AP Biology exams, summarizing dense textbook chapters into study notes</t>
  </si>
  <si>
    <t>U0157</t>
  </si>
  <si>
    <t>Literature review and paper summarization, Research paper analysis and concept extraction, Experimental data interpretation and analysis</t>
  </si>
  <si>
    <t>U0111</t>
  </si>
  <si>
    <t>Drafting marketing copy with AI assistance, generating blog outlines and article summaries, editing and refining written content using AI tools, creating email campaign content</t>
  </si>
  <si>
    <t>U0029</t>
  </si>
  <si>
    <t>Mathematics Student</t>
  </si>
  <si>
    <t>Solving differential equations and linear algebra problems, generating practice exam questions and solutions, explaining complex mathematical concepts through AI-assisted tutorials</t>
  </si>
  <si>
    <t>U0199</t>
  </si>
  <si>
    <t>AI Customer Support Specialist</t>
  </si>
  <si>
    <t>U0083</t>
  </si>
  <si>
    <t>Building predictive machine learning models, statistical analysis of large datasets, automating data pipeline workflows, generating insights dashboards for stakeholders</t>
  </si>
  <si>
    <t>U0286</t>
  </si>
  <si>
    <t>Especialista em Atendimento ao Cliente com IA</t>
  </si>
  <si>
    <t>Automatizar respostas de chatbot para FAQ, analisar sentimento de clientes em redes sociais, gerenciar tickets de suporte com prioriza����o inteligente, personalizar recomenda����es de produtos</t>
  </si>
  <si>
    <t>U0188</t>
  </si>
  <si>
    <t>History Student</t>
  </si>
  <si>
    <t>Literature review and document summarization, Historical timeline creation and fact verification, Research paper outline generation</t>
  </si>
  <si>
    <t>U0237</t>
  </si>
  <si>
    <t>Customer Experience Manager</t>
  </si>
  <si>
    <t>Implementing AI chatbots for customer inquiries, analyzing customer feedback using NLP tools, managing support ticket automation with AI systems</t>
  </si>
  <si>
    <t>U0195</t>
  </si>
  <si>
    <t>Administrative Executive</t>
  </si>
  <si>
    <t>Email automation and drafting with AI writing tools, Data entry and spreadsheet management using AI-powered tools, Document formatting and report generation, Meeting notes transcription and summarization</t>
  </si>
  <si>
    <t>U0242</t>
  </si>
  <si>
    <t>Email management and scheduling using AI, document formatting and report generation, data entry and spreadsheet organization, customer inquiry responses</t>
  </si>
  <si>
    <t>U0250</t>
  </si>
  <si>
    <t>Data Science Student</t>
  </si>
  <si>
    <t>Generating study summaries from lecture notes, debugging Python code for machine learning assignments, explaining complex statistical concepts and algorithms</t>
  </si>
  <si>
    <t>U0216</t>
  </si>
  <si>
    <t>Debugging code with AI assistance, Learning new programming frameworks, Writing and testing algorithms, Code optimization and refactoring</t>
  </si>
  <si>
    <t>U0193</t>
  </si>
  <si>
    <t>Customer Support Specialist / AI Support Operations Manager</t>
  </si>
  <si>
    <t>Manages AI-powered chatbot responses for customer inquiries, Analyzes customer sentiment using NLP tools, Optimizes support ticket routing with machine learning algorithms, Trains and monitors AI systems for quality assurance</t>
  </si>
  <si>
    <t>U0037</t>
  </si>
  <si>
    <t>Drafting advertising copy with AI assistance, Proofreading and editing marketing materials, Generating content ideas for campaigns using AI tools</t>
  </si>
  <si>
    <t>U0257</t>
  </si>
  <si>
    <t>Desenvolvedora de Sistemas J��nior</t>
  </si>
  <si>
    <t>Utilizar GitHub Copilot para autocompletar c��digo, usar ChatGPT para debugar erros em Python, aplicar IA para gerar testes automatizados</t>
  </si>
  <si>
    <t>U0143</t>
  </si>
  <si>
    <t>Digital Marketing Student</t>
  </si>
  <si>
    <t>AI-assisted blog writing and SEO optimization, social media caption generation, video script composition, graphic design concept ideation</t>
  </si>
  <si>
    <t>U0086</t>
  </si>
  <si>
    <t>Blog post creation using AI writing assistants, social media caption generation, email newsletter drafting, proofreading and editing with grammar tools</t>
  </si>
  <si>
    <t>U0161</t>
  </si>
  <si>
    <t>Respond to customer inquiries using AI chatbots, analyze sentiment in support tickets with NLP tools, draft personalized customer responses, resolve issues through AI-assisted knowledge bases</t>
  </si>
  <si>
    <t>U0214</t>
  </si>
  <si>
    <t>Essay composition and refinement, Research paper writing and citation organization, Creative story development and editing</t>
  </si>
  <si>
    <t>U0089</t>
  </si>
  <si>
    <t>Machine Learning Student</t>
  </si>
  <si>
    <t>Debugging Python code with AI pair programming, generating neural network architectures, optimizing algorithm efficiency</t>
  </si>
  <si>
    <t>U0181</t>
  </si>
  <si>
    <t>Content Manager</t>
  </si>
  <si>
    <t>gemini</t>
  </si>
  <si>
    <t>Creating website copy and blog articles with AI writing assistants, generating social media posts and captions, editing and optimizing content for SEO</t>
  </si>
  <si>
    <t>U0154</t>
  </si>
  <si>
    <t>U0099</t>
  </si>
  <si>
    <t>Explaining complex physics concepts, Generating practice problems with solutions, Debugging MATLAB code for simulations</t>
  </si>
  <si>
    <t>U0030</t>
  </si>
  <si>
    <t>AI Customer Success Manager</t>
  </si>
  <si>
    <t>AI-powered chatbot configuration and training, customer sentiment analysis using NLP models, automated ticket classification and routing, customer feedback analysis and reporting</t>
  </si>
  <si>
    <t>U0233</t>
  </si>
  <si>
    <t>Gerente de Atendimento ao Cliente</t>
  </si>
  <si>
    <t>Implementar chatbots para respostas autom��ticas, supervisionar equipe de suporte via AI analytics, analisar satisfa����o de clientes com ferramentas de IA</t>
  </si>
  <si>
    <t>U0076</t>
  </si>
  <si>
    <t>Creative Writing Student</t>
  </si>
  <si>
    <t>Essay structuring and outlining, narrative development and storytelling, grammar checking and style refinement, research paper organization</t>
  </si>
  <si>
    <t>U0011</t>
  </si>
  <si>
    <t>AI chatbot response review and optimization, automated ticket categorization and routing, customer sentiment analysis using AI tools, knowledge base article generation</t>
  </si>
  <si>
    <t>U0093</t>
  </si>
  <si>
    <t>Debugging code with AI assistance, generating boilerplate code for projects, learning new programming concepts through AI explanations, optimizing algorithms</t>
  </si>
  <si>
    <t>U0244</t>
  </si>
  <si>
    <t>Generating practice problem sets, debugging Python code, summarizing research papers, creating study guides for exams</t>
  </si>
  <si>
    <t>U0017</t>
  </si>
  <si>
    <t>Debugging code with AI assistance, generating code snippets for assignments, learning programming concepts through AI-powered tutorials</t>
  </si>
  <si>
    <t>U0100</t>
  </si>
  <si>
    <t>Literature review automation, research paper summarization, data analysis and visualization, academic source discovery and organization</t>
  </si>
  <si>
    <t>U0189</t>
  </si>
  <si>
    <t>Using ChatGPT to explain statistical concepts, generating practice problems with Python code examples, summarizing research papers for assignments</t>
  </si>
  <si>
    <t>U0063</t>
  </si>
  <si>
    <t>Essay drafting and brainstorming, grammar checking and proofreading, creative writing prompt generation</t>
  </si>
  <si>
    <t>U0047</t>
  </si>
  <si>
    <t>Computer Science PhD Student</t>
  </si>
  <si>
    <t>Debugging code with AI assistance, Generating boilerplate code and snippets, Optimizing algorithms and performance</t>
  </si>
  <si>
    <t>U0144</t>
  </si>
  <si>
    <t>Writing and debugging Python code using GitHub Copilot, generating SQL queries with AI assistants, code optimization and refactoring suggestions</t>
  </si>
  <si>
    <t>U0001</t>
  </si>
  <si>
    <t>Analyzing customer sales trends with Python, generating automated reports using Power BI, cleaning and organizing spreadsheet data</t>
  </si>
  <si>
    <t>U0236</t>
  </si>
  <si>
    <t>Senior Research Scientist</t>
  </si>
  <si>
    <t>Literature review using AI-powered academic databases, predictive data analysis with machine learning algorithms, research paper summarization and content extraction, hypothesis validation through automated statistical modeling</t>
  </si>
  <si>
    <t>U0052</t>
  </si>
  <si>
    <t>Literature review organization, Academic paper summarization, Statistical data analysis, Research source evaluation</t>
  </si>
  <si>
    <t>U0024</t>
  </si>
  <si>
    <t>Writing social media captions and posts, Generating video scripts and outlines, Creating blog post ideas and content drafts</t>
  </si>
  <si>
    <t>U0006</t>
  </si>
  <si>
    <t>Content Creator/Gestor de Conte��do Digital</t>
  </si>
  <si>
    <t>Generating social media posts with AI writing tools, creating blog content and SEO optimization, producing video scripts and editing with AI assistance, designing graphics and visual content using AI image generators</t>
  </si>
  <si>
    <t>U0187</t>
  </si>
  <si>
    <t>Debugging Python code, generating SQL queries, writing HTML/CSS for web projects, optimizing algorithm efficiency</t>
  </si>
  <si>
    <t>U0056</t>
  </si>
  <si>
    <t>Junior Web Developer</t>
  </si>
  <si>
    <t>Using AI code generation tools to write HTML/CSS templates, debugging PHP code with AI assistance, automating SQL query optimization for database functions</t>
  </si>
  <si>
    <t>U0182</t>
  </si>
  <si>
    <t>Essay drafting and editing, creative story development, grammar checking and proofreading</t>
  </si>
  <si>
    <t>U0078</t>
  </si>
  <si>
    <t>Data cleaning and preprocessing, Statistical analysis and visualization, Building predictive models with machine learning algorithms</t>
  </si>
  <si>
    <t>U0041</t>
  </si>
  <si>
    <t>AI-powered social media content generation, blog post writing and SEO optimization, graphic design ideation with AI tools, video script creation and editing</t>
  </si>
  <si>
    <t>U0230</t>
  </si>
  <si>
    <t>Kundenbetreuerin mit KI-Unterst��tzung</t>
  </si>
  <si>
    <t>Automatisierte E-Mail-Beantwortung mit KI-Chatbots, Ticketklassifizierung und Priorisierung, Live-Chat-Support mit KI-Textvorschl��gen, Kundenprobleme analysieren und L��sungen dokumentieren</t>
  </si>
  <si>
    <t>U0178</t>
  </si>
  <si>
    <t>U0272</t>
  </si>
  <si>
    <t>Literature review and survey compilation, Statistical data analysis and visualization, Research paper summarization and citation tracking</t>
  </si>
  <si>
    <t>U0253</t>
  </si>
  <si>
    <t>Responding to customer inquiries using AI-powered chatbots, analyzing customer feedback with sentiment analysis tools, drafting personalized support responses, resolving billing issues</t>
  </si>
  <si>
    <t>U0045</t>
  </si>
  <si>
    <t>Code review and optimization using AI assistants, debugging complex algorithms with AI-powered tools, automated testing and code generation, documentation writing with AI support</t>
  </si>
  <si>
    <t>U0042</t>
  </si>
  <si>
    <t>Using AI to summarize lecture notes, generating practice exam questions, researching case studies for assignments</t>
  </si>
  <si>
    <t>U0150</t>
  </si>
  <si>
    <t>Drafting blog posts and articles using AI writing assistants, Editing and proofreading client documents with AI tools, Creating marketing copy and social media content</t>
  </si>
  <si>
    <t>U0023</t>
  </si>
  <si>
    <t>Essay structuring and outlining, grammar checking and proofreading, research paper organization, creative writing brainstorming</t>
  </si>
  <si>
    <t>U0126</t>
  </si>
  <si>
    <t>Pesquisador S��nior em Intelig��ncia Artificial e Ci��ncia de Dados</t>
  </si>
  <si>
    <t>An��lise de grandes volumes de dados com modelos de machine learning, Desenvolvimento de algoritmos para processamento de linguagem natural, Otimiza����o de modelos preditivos para pesquisa acad��mica</t>
  </si>
  <si>
    <t>U0119</t>
  </si>
  <si>
    <t>Analyzing customer behavior patterns using Python and Pandas, Creating automated dashboards with Power BI, Mining sales data to identify trends and anomalies</t>
  </si>
  <si>
    <t>U0082</t>
  </si>
  <si>
    <t>Technical Writer</t>
  </si>
  <si>
    <t>Drafting technical documentation with AI assistance, editing and refining content for clarity, generating user guides and manuals, collaborating with teams on writing projects</t>
  </si>
  <si>
    <t>U0104</t>
  </si>
  <si>
    <t>Literature review automation, research paper summarization, data analysis for experiments, thesis writing assistance</t>
  </si>
  <si>
    <t>U0101</t>
  </si>
  <si>
    <t>Copilot</t>
  </si>
  <si>
    <t>Literature review automation, data analysis for lab experiments, peer-reviewed article summarization, research paper writing assistance</t>
  </si>
  <si>
    <t>U0085</t>
  </si>
  <si>
    <t>Theoretical Physics Student</t>
  </si>
  <si>
    <t>Generating practice problems for quantum mechanics, Getting explanations for complex mathematical proofs, Creating study summaries from research papers, Preparing for physics competitions</t>
  </si>
  <si>
    <t>U0074</t>
  </si>
  <si>
    <t>Literature review compilation, data collection and organization, competitor analysis, market trend research</t>
  </si>
  <si>
    <t>U0148</t>
  </si>
  <si>
    <t>Using AI to generate study notes from textbooks, getting help with math problem solutions, practicing English language comprehension with AI writing feedback</t>
  </si>
  <si>
    <t>U0004</t>
  </si>
  <si>
    <t>Using AI for coding homework assistance, practice problem solutions, debugging Python scripts, studying for Data Structures exams</t>
  </si>
  <si>
    <t>U0166</t>
  </si>
  <si>
    <t>Biomedical Science Student</t>
  </si>
  <si>
    <t>Using AI to generate study summaries of complex biochemical pathways, asking ChatGPT to explain lab report findings, generating practice exam questions for molecular biology assessments</t>
  </si>
  <si>
    <t>U0224</t>
  </si>
  <si>
    <t>Physics Student</t>
  </si>
  <si>
    <t>Using AI for solving complex physics problems, generating practice questions for JEE preparation, translating physics concepts into simpler explanations</t>
  </si>
  <si>
    <t>U0277</t>
  </si>
  <si>
    <t>Essay structuring and outlining, grammar and clarity checking, creative writing feedback and refinement, research paper organization</t>
  </si>
  <si>
    <t>U0129</t>
  </si>
  <si>
    <t>Essay structuring and brainstorming, Grammar and style checking, Research paper organization, Creative writing feedback and revision</t>
  </si>
  <si>
    <t>U0156</t>
  </si>
  <si>
    <t>Artificial Intelligence &amp; Digital Media Student</t>
  </si>
  <si>
    <t>claude</t>
  </si>
  <si>
    <t>U0033</t>
  </si>
  <si>
    <t>Using AI to explain complex biological concepts, generating practice questions for exams, summarizing textbook chapters</t>
  </si>
  <si>
    <t>U0213</t>
  </si>
  <si>
    <t>German Literature and Comparative Studies Student</t>
  </si>
  <si>
    <t>Essay drafting and structuring, Literature analysis and research assistance, Creative writing feedback and editing</t>
  </si>
  <si>
    <t>U0208</t>
  </si>
  <si>
    <t>Creating social media captions and posts, Generating blog content outlines, Editing and enhancing product photos for e-commerce posts</t>
  </si>
  <si>
    <t>U0168</t>
  </si>
  <si>
    <t>Analista de Dados S��nior</t>
  </si>
  <si>
    <t>An��lise preditiva de tend��ncias de mercado com Machine Learning, processamento e limpeza de grandes volumes de dados com Python/SQL, cria����o de dashboards interativos em Power BI, relat��rios autom��ticos de KPIs</t>
  </si>
  <si>
    <t>U0087</t>
  </si>
  <si>
    <t>Digital Media &amp; Film Production Student</t>
  </si>
  <si>
    <t>Video editing with AI-assisted color grading, Generating background music and sound design, Creating AI-enhanced visual effects, Writing and scripting video content</t>
  </si>
  <si>
    <t>U0175</t>
  </si>
  <si>
    <t>AI Content Strategist</t>
  </si>
  <si>
    <t>Generating blog articles and marketing copy with AI writing tools, creating social media content calendars, producing video scripts and editing with AI-assisted tools</t>
  </si>
  <si>
    <t>U0180</t>
  </si>
  <si>
    <t>Statistical modeling and hypothesis testing with Python/R, Machine learning model development for predictive analytics, Automated data visualization and reporting with Power BI</t>
  </si>
  <si>
    <t>U0284</t>
  </si>
  <si>
    <t>Softwareentwicklerin (Software Developer)</t>
  </si>
  <si>
    <t>Code generation and debugging with AI assistants, automated testing and code quality analysis, documentation generation from code, rapid prototyping of features</t>
  </si>
  <si>
    <t>U0020</t>
  </si>
  <si>
    <t>Brainstorming story concepts and plot outlines, refining essay drafts and academic papers, generating dialogue for fiction projects, editing and proofreading written content</t>
  </si>
  <si>
    <t>U0169</t>
  </si>
  <si>
    <t>Digital Content Creator / Social Media Manager</t>
  </si>
  <si>
    <t>U0153</t>
  </si>
  <si>
    <t>Debugging code with AI assistance, generating code snippets for assignments, learning new programming languages and frameworks</t>
  </si>
  <si>
    <t>U0079</t>
  </si>
  <si>
    <t>Generating practice problems and solutions for thermodynamics assignments, Using AI to explain complex calculus concepts, Debugging Python code for computational mechanics projects</t>
  </si>
  <si>
    <t>U0106</t>
  </si>
  <si>
    <t>Processing customer inquiries with AI chatbot automation, analysing customer feedback sentiment using AI tools, training support team on AI-assisted ticketing systems</t>
  </si>
  <si>
    <t>U0241</t>
  </si>
  <si>
    <t>Using AI to generate practice exam questions, getting help understanding complex concepts like cellular respiration, summarizing textbook chapters for study notes</t>
  </si>
  <si>
    <t>U0151</t>
  </si>
  <si>
    <t>Code review and debugging using AI assistants, automated test case generation, documentation and code commenting automation, performance optimization recommendations</t>
  </si>
  <si>
    <t>U0072</t>
  </si>
  <si>
    <t>U0245</t>
  </si>
  <si>
    <t>Email management and scheduling, document preparation using word processors, data entry and spreadsheet management, basic report generation</t>
  </si>
  <si>
    <t>U0172</t>
  </si>
  <si>
    <t>Essay structuring and outlining, grammar checking and proofreading, research paper organization, creative writing feedback</t>
  </si>
  <si>
    <t>U0133</t>
  </si>
  <si>
    <t>Biomedical Engineering Student</t>
  </si>
  <si>
    <t>Literature review analysis using AI research tools, thesis data interpretation and statistical analysis, scientific paper summarization and citation management, research proposal optimization</t>
  </si>
  <si>
    <t>U0282</t>
  </si>
  <si>
    <t>Literature review automation, data analysis and visualization, competitor intelligence gathering, research report generation</t>
  </si>
  <si>
    <t>U0025</t>
  </si>
  <si>
    <t>Literature review and source analysis, Data interpretation and visualization for research projects, Academic paper summarization and synthesis</t>
  </si>
  <si>
    <t>U0122</t>
  </si>
  <si>
    <t>Psychology Student</t>
  </si>
  <si>
    <t>Literature review summarization, research paper analysis, data interpretation assistance, study methodology research</t>
  </si>
  <si>
    <t>U0031</t>
  </si>
  <si>
    <t>Literature review and paper summarization, Lab data analysis and statistical interpretation, Research methodology planning and protocol development</t>
  </si>
  <si>
    <t>U0062</t>
  </si>
  <si>
    <t>Analyzing research papers with AI summaries, Debugging Python code for machine learning projects, Preparing for statistical analysis exams using AI tutoring</t>
  </si>
  <si>
    <t>U0058</t>
  </si>
  <si>
    <t>Datenanalyst</t>
  </si>
  <si>
    <t>Cleaning and organizing Excel datasets, Creating data visualizations with Power BI, Generating reports from business metrics using SQL queries</t>
  </si>
  <si>
    <t>U0173</t>
  </si>
  <si>
    <t>Debugging code using AI-assisted tools, Generating boilerplate code with GitHub Copilot, Code review and optimization with AI suggestions, Writing unit tests using AI pair programming</t>
  </si>
  <si>
    <t>U0003</t>
  </si>
  <si>
    <t>Statistical analysis of research datasets, Data visualization and interpretation, Machine learning model training and evaluation, Predictive analytics for academic projects</t>
  </si>
  <si>
    <t>U0260</t>
  </si>
  <si>
    <t>Biotechnology PhD Student</t>
  </si>
  <si>
    <t>Research paper summarization and literature review, experimental data analysis and visualization, thesis writing and citation management, concept clarification through AI tutoring</t>
  </si>
  <si>
    <t>U0117</t>
  </si>
  <si>
    <t>Generating study summaries from lecture notes, solving complex problem sets with AI guidance, creating visual diagrams for anatomy concepts</t>
  </si>
  <si>
    <t>U0280</t>
  </si>
  <si>
    <t>Debugging Python code with AI assistance, generating code snippets for machine learning projects, optimizing algorithm performance, documenting technical solutions</t>
  </si>
  <si>
    <t>U0163</t>
  </si>
  <si>
    <t>Literature review synthesis using AI-powered databases, data analysis and pattern identification with machine learning models, research hypothesis testing and statistical validation</t>
  </si>
  <si>
    <t>U0019</t>
  </si>
  <si>
    <t>D��veloppeur Logiciel (Software Developer)</t>
  </si>
  <si>
    <t>Debugging code with AI-assisted analysis, auto-completing code functions, generating unit test cases with AI tools</t>
  </si>
  <si>
    <t>U0115</t>
  </si>
  <si>
    <t>Automating data analysis with AI tools, generating reports using AI writing assistants, analyzing market trends with AI analytics platforms</t>
  </si>
  <si>
    <t>U0160</t>
  </si>
  <si>
    <t>Electronics and Communication Engineering Student</t>
  </si>
  <si>
    <t>Literature review on emerging technologies, Data analysis for lab experiments, Creating research presentations with AI summarization, Organizing and citing research papers</t>
  </si>
  <si>
    <t>U0048</t>
  </si>
  <si>
    <t>Draft blog posts and marketing copy with AI writing assistants, Generate email campaign content, Edit and refine AI-generated social media posts</t>
  </si>
  <si>
    <t>U0112</t>
  </si>
  <si>
    <t>Essay outlining and structure planning, grammar and style checking, brainstorming essay arguments, citation formatting assistance</t>
  </si>
  <si>
    <t>U0012</t>
  </si>
  <si>
    <t>D��veloppeur Full Stack Junior</t>
  </si>
  <si>
    <t>Generating code snippets with GitHub Copilot, debugging Python scripts using AI pair programming, optimizing SQL queries with AI assistance</t>
  </si>
  <si>
    <t>U0204</t>
  </si>
  <si>
    <t>Senior Software Engineer / AI Systems Developer</t>
  </si>
  <si>
    <t>Developing machine learning models for code optimization, Automating code generation and refactoring using AI, Debugging complex algorithms with AI-assisted analysis</t>
  </si>
  <si>
    <t>U0091</t>
  </si>
  <si>
    <t>Essay drafting and brainstorming, grammar checking and proofreading, research paper outline generation, creative writing feedback</t>
  </si>
  <si>
    <t>U0266</t>
  </si>
  <si>
    <t>Research Scientist / Data Analyst</t>
  </si>
  <si>
    <t>Automated report generation using AI, Data analysis and visualization with machine learning, Document processing and knowledge management, Research paper summarization and literature review automation</t>
  </si>
  <si>
    <t>U0018</t>
  </si>
  <si>
    <t>Content Strategist</t>
  </si>
  <si>
    <t>Using AI for blog drafting, editing article copy with grammar tools, generating content outlines</t>
  </si>
  <si>
    <t>U0128</t>
  </si>
  <si>
    <t>Software Developer (Diploma Qualified)</t>
  </si>
  <si>
    <t>Code debugging with AI assistants, generating boilerplate code snippets, optimizing legacy application code, testing and validating code functionality</t>
  </si>
  <si>
    <t>U0005</t>
  </si>
  <si>
    <t>AI-powered blog post generation and optimization, creating marketing copy using AI writing assistants, designing social media content calendars with AI recommendations</t>
  </si>
  <si>
    <t>U0210</t>
  </si>
  <si>
    <t>Summarizing research papers for assignments, generating study guides from lecture notes, creating practice questions for exams</t>
  </si>
  <si>
    <t>U0218</t>
  </si>
  <si>
    <t>Desenvolvedor de Sistemas Junior</t>
  </si>
  <si>
    <t>Escrever c��digo Python e JavaScript com assist��ncia de IA, debugar aplica����es usando ferramentas de an��lise de c��digo, otimizar queries de banco de dados com sugest��es de IA</t>
  </si>
  <si>
    <t>U0038</t>
  </si>
  <si>
    <t>Essay writing and structure planning, Grammar checking and proofreading, Creative writing brainstorming, Citation and referencing assistance</t>
  </si>
  <si>
    <t>U0064</t>
  </si>
  <si>
    <t>Using AI for programming problem solving, generating practice exam questions, explaining complex machine learning concepts, summarizing research papers</t>
  </si>
  <si>
    <t>U0185</t>
  </si>
  <si>
    <t>Video editing and effects using AI tools, AI-assisted scriptwriting for YouTube content, AI image generation for social media graphics, audio enhancement and voiceover synthesis</t>
  </si>
  <si>
    <t>U0273</t>
  </si>
  <si>
    <t>Creating social media graphics and promotional videos, writing blog posts and articles with AI assistance, designing visual content for class projects</t>
  </si>
  <si>
    <t>U0247</t>
  </si>
  <si>
    <t>Data Analyst / Business Intelligence Specialist</t>
  </si>
  <si>
    <t>Cleaning and preprocessing datasets using Python and SQL, Building predictive models with machine learning libraries, Creating automated dashboards and reports with Power BI or Tableau, Performing statistical analysis and A/B testing</t>
  </si>
  <si>
    <t>U0220</t>
  </si>
  <si>
    <t>Assistente Administrativo</t>
  </si>
  <si>
    <t>Email management and scheduling with AI assistance, Document organization and data entry using AI tools, Budget tracking and spreadsheet analysis, Report generation and formatting</t>
  </si>
  <si>
    <t>U0050</t>
  </si>
  <si>
    <t>Drafting blog posts and articles using AI writing assistants, proofreading and editing content with grammar tools, generating social media copy and captions</t>
  </si>
  <si>
    <t>U0190</t>
  </si>
  <si>
    <t>AI-assisted article writing and SEO optimization, social media content generation, automated copywriting for marketing campaigns, AI-powered image and graphic content creation</t>
  </si>
  <si>
    <t>U0249</t>
  </si>
  <si>
    <t>Debugging code with AI-assisted error detection, writing automated unit tests using AI code generation, refactoring legacy code with AI suggestions</t>
  </si>
  <si>
    <t>U0124</t>
  </si>
  <si>
    <t>Digital Marketing Manager</t>
  </si>
  <si>
    <t>Writing blog posts and articles using AI writing tools, designing social media content with AI image generators, creating video scripts and editing content using AI-assisted tools</t>
  </si>
  <si>
    <t>U0196</t>
  </si>
  <si>
    <t>Essay drafting and structuring, grammar and syntax correction, research paper organization, creative writing brainstorming</t>
  </si>
  <si>
    <t>U0053</t>
  </si>
  <si>
    <t>Psychology Research Student</t>
  </si>
  <si>
    <t>Literature review analysis, Research paper summarization, Data interpretation assistance, Survey analysis</t>
  </si>
  <si>
    <t>U0240</t>
  </si>
  <si>
    <t>Debugging Python code with AI assistance, Generating boilerplate code for data preprocessing, Optimizing neural network architectures</t>
  </si>
  <si>
    <t>U0212</t>
  </si>
  <si>
    <t>Creating social media content using AI writing tools, Generating blog post outlines and scripts for YouTube videos, Designing graphics and promotional materials with AI image generators</t>
  </si>
  <si>
    <t>U0155</t>
  </si>
  <si>
    <t>Drafting blog articles and web copy with AI assistance, proofreading and editing content generated by language models, optimizing written materials for SEO using AI tools</t>
  </si>
  <si>
    <t>U0013</t>
  </si>
  <si>
    <t>Writing JavaScript code with AI code completion, debugging Python scripts using AI-powered error analysis, generating HTML/CSS templates with AI assistance</t>
  </si>
  <si>
    <t>U0139</t>
  </si>
  <si>
    <t>Digital Content Writer</t>
  </si>
  <si>
    <t>Writing blog posts and articles using AI writing assistants, Creating social media content with AI tools, Generating product descriptions for e-commerce platforms</t>
  </si>
  <si>
    <t>U0275</t>
  </si>
  <si>
    <t>Statistics Student</t>
  </si>
  <si>
    <t>Analyzing survey datasets using Python, Creating data visualizations with matplotlib and seaborn, Performing statistical hypothesis testing on project data</t>
  </si>
  <si>
    <t>U0105</t>
  </si>
  <si>
    <t>U0065</t>
  </si>
  <si>
    <t>Explaining complex physics concepts, solving differential equations, generating study guides for thermodynamics and dynamics modules, debugging Python code for engineering simulations</t>
  </si>
  <si>
    <t>U0080</t>
  </si>
  <si>
    <t>Debugging code with AI assistance, Learning Python syntax, Building small projects with AI pair programming</t>
  </si>
  <si>
    <t>U0261</t>
  </si>
  <si>
    <t>Debugging code with AI assistance, generating boilerplate code for projects, learning new programming languages and frameworks</t>
  </si>
  <si>
    <t>U0015</t>
  </si>
  <si>
    <t>Using AI chatbots to explain complex business concepts, generating study notes from textbooks, practicing for economics exams with AI-generated practice questions</t>
  </si>
  <si>
    <t>U0090</t>
  </si>
  <si>
    <t>Literature review summarization, data analysis for lab reports, generating research outlines, fact-checking sources for school projects</t>
  </si>
  <si>
    <t>U0123</t>
  </si>
  <si>
    <t>Literature review on medical devices, analyzing research papers using AI summaries, conducting computational analysis of biological data, organizing and citing academic sources</t>
  </si>
  <si>
    <t>U0103</t>
  </si>
  <si>
    <t>Handling customer inquiries via AI chatbots, resolving complaints using AI-powered ticketing systems, processing refunds and returns with AI assistance</t>
  </si>
  <si>
    <t>U0265</t>
  </si>
  <si>
    <t>AI-assisted blog post creation, email copywriting with AI tools, social media content generation, SEO-optimized article drafting</t>
  </si>
  <si>
    <t>U0051</t>
  </si>
  <si>
    <t>Summarizing course lecture notes, generating practice questions for exams, translating academic articles into simpler terms, proofreading and organizing assignment drafts</t>
  </si>
  <si>
    <t>U0281</t>
  </si>
  <si>
    <t>Essay structuring and outlining, Research paper writing assistance, Academic content proofreading and editing, Creative writing feedback generation</t>
  </si>
  <si>
    <t>U0206</t>
  </si>
  <si>
    <t>Literature Student</t>
  </si>
  <si>
    <t>Essay drafting and structuring, Grammar and style checking for academic papers, Creative writing brainstorming and editing</t>
  </si>
  <si>
    <t>U0262</t>
  </si>
  <si>
    <t>Essay drafting and structure planning, Grammar checking and proofreading, Research paper summarization, Creative writing feedback and refinement</t>
  </si>
  <si>
    <t>U0235</t>
  </si>
  <si>
    <t>AI-assisted article writing, generating blog post outlines, proofreading and editing content using AI tools, creating marketing copy</t>
  </si>
  <si>
    <t>U0142</t>
  </si>
  <si>
    <t>Generating study summaries from lecture notes, debugging Python code for coursework assignments, explaining complex statistical concepts, creating practice problems for exam preparation</t>
  </si>
  <si>
    <t>U0097</t>
  </si>
  <si>
    <t>AI-assisted essay structuring, thesis literature review synthesis, manuscript editing and proofreading, dialogue generation for fiction writing</t>
  </si>
  <si>
    <t>U0034</t>
  </si>
  <si>
    <t>Using AI for essay writing assistance, generating practice problems for programming exercises, creating study notes and summaries from lecture materials</t>
  </si>
  <si>
    <t>U0256</t>
  </si>
  <si>
    <t>Customer Service Executive</t>
  </si>
  <si>
    <t>AI chatbot management for customer inquiries, complaint resolution using AI ticketing systems, customer feedback analysis with AI sentiment analysis tools</t>
  </si>
  <si>
    <t>U0110</t>
  </si>
  <si>
    <t>Customer Support Executive</t>
  </si>
  <si>
    <t>AI chatbot ticket routing, customer complaint analysis and resolution, live chat support with AI assistance, response template generation</t>
  </si>
  <si>
    <t>U0270</t>
  </si>
  <si>
    <t>Softwareentwickler (Software Developer)</t>
  </si>
  <si>
    <t>Code generation and bug fixing with AI assistants, refactoring legacy code, AI-powered code review and optimization</t>
  </si>
  <si>
    <t>U0159</t>
  </si>
  <si>
    <t>Projektmanagerin (Project Manager)</t>
  </si>
  <si>
    <t>Email management and scheduling with AI assistance, automated report generation and data analysis, AI-powered document creation and editing, meeting notes summarization</t>
  </si>
  <si>
    <t>U0283</t>
  </si>
  <si>
    <t>Building predictive models with Python and scikit-learn, Automating data pipeline creation with AI assistants, Generating business intelligence dashboards and reports, Interpreting complex datasets for stakeholder insights</t>
  </si>
  <si>
    <t>U0202</t>
  </si>
  <si>
    <t>U0200</t>
  </si>
  <si>
    <t>Software Support Technician</t>
  </si>
  <si>
    <t>Debugging code with AI assistance, Generating boilerplate code using AI, Code review with automated analysis tools</t>
  </si>
  <si>
    <t>U0040</t>
  </si>
  <si>
    <t>Writing blog posts and articles using AI writing assistants, generating social media content calendars with AI tools, editing and repurposing video content with AI-powered software</t>
  </si>
  <si>
    <t>U0183</t>
  </si>
  <si>
    <t>Essay outlining and structure planning, grammar checking and proofreading, creative writing brainstorming, research paper citation formatting</t>
  </si>
  <si>
    <t>U0098</t>
  </si>
  <si>
    <t>Debugging code with AI assistance, generating boilerplate code, learning new programming frameworks, optimizing algorithm solutions</t>
  </si>
  <si>
    <t>U0109</t>
  </si>
  <si>
    <t>Debugging Python code with AI assistance, generating HTML/CSS templates for web projects, explaining algorithmic concepts and data structures</t>
  </si>
  <si>
    <t>U0170</t>
  </si>
  <si>
    <t>Resolving customer inquiries using AI chatbots, analyzing customer feedback with sentiment analysis tools, ticket prioritization using AI systems</t>
  </si>
  <si>
    <t>U0068</t>
  </si>
  <si>
    <t>Using AI to generate practice questions for exams, translating English scientific articles to Portuguese, summarizing complex biological concepts, creating study guides</t>
  </si>
  <si>
    <t>U0077</t>
  </si>
  <si>
    <t>Data visualization with charts and graphs, Statistical analysis of survey datasets, Data cleaning and preprocessing, Predictive modeling for business intelligence</t>
  </si>
  <si>
    <t>U0203</t>
  </si>
  <si>
    <t>Desenvolvedora de Software</t>
  </si>
  <si>
    <t>Uso de GitHub Copilot para autocompletar c��digo, refatora����o de aplica����es com assist��ncia de IA, debugging de erros com ferramentas de an��lise inteligente</t>
  </si>
  <si>
    <t>U0009</t>
  </si>
  <si>
    <t>Debugging code with AI assistance, generating boilerplate code templates, learning new programming frameworks, optimizing algorithms</t>
  </si>
  <si>
    <t>U0140</t>
  </si>
  <si>
    <t>copilot</t>
  </si>
  <si>
    <t>Literature review and paper summarization, experiment data analysis and visualization, hypothesis generation for lab research, scientific journal article organization and annotation</t>
  </si>
  <si>
    <t>U0121</t>
  </si>
  <si>
    <t>Summarizing academic research papers, generating study guides for exams, brainstorming project ideas, debugging Python code assignments</t>
  </si>
  <si>
    <t>U0201</t>
  </si>
  <si>
    <t>Essay outlining and structure planning, Grammar and style checking on assignments, Research paper summarization and citation formatting</t>
  </si>
  <si>
    <t>U0021</t>
  </si>
  <si>
    <t>Code debugging with AI assistance, automated test case generation, SQL query optimization, documentation writing with AI tools</t>
  </si>
  <si>
    <t>U0267</t>
  </si>
  <si>
    <t>Statistical modeling of biological datasets, machine learning prediction model development, exploratory data analysis of genomic sequences, data visualization and interpretation</t>
  </si>
  <si>
    <t>U0044</t>
  </si>
  <si>
    <t>Literature review and paper summarization, statistical analysis and data interpretation, research methodology design, thesis data analysis and visualization</t>
  </si>
  <si>
    <t>U0276</t>
  </si>
  <si>
    <t>Essay drafting and structure planning, grammar checking and proofreading, creative writing prompts for assignments, research paper organization and citation formatting</t>
  </si>
  <si>
    <t>U0232</t>
  </si>
  <si>
    <t>Analyste de Donn��es / Data Analyst</t>
  </si>
  <si>
    <t>Nettoyage et pr��paration de donn��es avec Python, cr��ation de dashboards interactifs sur Power BI, analyse statistique de tendances march��, g��n��ration de rapports automatis��s avec SQL</t>
  </si>
  <si>
    <t>U0252</t>
  </si>
  <si>
    <t>Research Scientist</t>
  </si>
  <si>
    <t>Literature review analysis using AI tools, Research data synthesis and pattern identification, Experimental hypothesis generation using machine learning models, Scientific paper writing and citation management with AI assistance</t>
  </si>
  <si>
    <t>U0145</t>
  </si>
  <si>
    <t>Using AI to generate article outlines and research summaries, editing and refining AI-generated copy for brand consistency, creating SEO-optimized content briefs with AI assistance</t>
  </si>
  <si>
    <t>U0229</t>
  </si>
  <si>
    <t>Essay drafting and editing, creative writing brainstorming, research paper organization, grammar and tone refinement</t>
  </si>
  <si>
    <t>U0010</t>
  </si>
  <si>
    <t>Blog post creation, email copywriting, social media content drafting, document editing and proofreading</t>
  </si>
  <si>
    <t>U0146</t>
  </si>
  <si>
    <t>Writing lab reports, studying for exams using AI tutors, organizing research notes</t>
  </si>
  <si>
    <t>U0197</t>
  </si>
  <si>
    <t>Essay outlining and structure planning, grammar and style checking for assignments, creative writing brainstorming and plot development</t>
  </si>
  <si>
    <t>U0186</t>
  </si>
  <si>
    <t>Academic Research Professor and Technical Writer</t>
  </si>
  <si>
    <t>Drafting research papers and abstracts using AI writing assistants, Editing and refining academic manuscripts for journal submissions, Generating technical documentation and course materials</t>
  </si>
  <si>
    <t>U0287</t>
  </si>
  <si>
    <t>Generating solved examples for thermodynamics problems, Creating study summaries from lecture notes, Debugging code for programming assignments</t>
  </si>
  <si>
    <t>U0147</t>
  </si>
  <si>
    <t>Analista de Dados</t>
  </si>
  <si>
    <t>U0134</t>
  </si>
  <si>
    <t>Generating video scripts and storyboards, Creating AI-enhanced graphics and visual assets, Writing and editing blog posts and social media content</t>
  </si>
  <si>
    <t>U0158</t>
  </si>
  <si>
    <t>Essay drafting and structuring, grammar and clarity checking, research paper outline generation, creative writing brainstorming</t>
  </si>
  <si>
    <t>U0174</t>
  </si>
  <si>
    <t>Debugging code errors, generating code snippets in Python and JavaScript, learning programming concepts through AI explanations</t>
  </si>
  <si>
    <t>U0066</t>
  </si>
  <si>
    <t>Code debugging with AI pair programming tools, automated test generation, code documentation and comments generation</t>
  </si>
  <si>
    <t>U0094</t>
  </si>
  <si>
    <t>Multimedia Content Producer</t>
  </si>
  <si>
    <t>Writing blog articles with AI writing assistants, generating social media graphics and captions using AI design tools, editing video content and creating thumbnails, managing and curating digital content for websites and social platforms</t>
  </si>
  <si>
    <t>U0136</t>
  </si>
  <si>
    <t>Desenvolvedor de Sistemas (Systems Developer)</t>
  </si>
  <si>
    <t>Code debugging and optimization with AI tools, automated test case generation, API development and integration, documentation generation</t>
  </si>
  <si>
    <t>U0002</t>
  </si>
  <si>
    <t>Automated code generation using AI assistants, debugging and fixing code with AI-powered tools, writing and optimizing SQL queries with AI support</t>
  </si>
  <si>
    <t>U0130</t>
  </si>
  <si>
    <t>Debugging code with AI-assisted analysis, generating boilerplate code using AI tools, code review and optimization with AI suggestions</t>
  </si>
  <si>
    <t/>
  </si>
  <si>
    <t>Non-Binary</t>
  </si>
  <si>
    <t>Row Labels</t>
  </si>
  <si>
    <t>Grand Total</t>
  </si>
  <si>
    <t>Total users</t>
  </si>
  <si>
    <t>Average Age</t>
  </si>
  <si>
    <t>(blank)</t>
  </si>
  <si>
    <t>Count of User_ID</t>
  </si>
  <si>
    <t>Countries</t>
  </si>
  <si>
    <t>Education Level</t>
  </si>
  <si>
    <t>User Type</t>
  </si>
  <si>
    <t>Most Common Ages</t>
  </si>
  <si>
    <t>DEMOGRAPHIC ANALYSIS</t>
  </si>
  <si>
    <t>Demographic Analysis</t>
  </si>
  <si>
    <t>AI adoption and usage patterns</t>
  </si>
  <si>
    <t>Sum of AI_Usage_Hours_Per_Day</t>
  </si>
  <si>
    <t>Average AI usage per day</t>
  </si>
  <si>
    <t>AI tool</t>
  </si>
  <si>
    <t>Most Common Use</t>
  </si>
  <si>
    <t>AI adoption and Usage Patterns</t>
  </si>
  <si>
    <t>Productivity and performance impact</t>
  </si>
  <si>
    <t>Average productivity score</t>
  </si>
  <si>
    <t>Sum of Productivity_Score</t>
  </si>
  <si>
    <t>Average of Productivity_Score</t>
  </si>
  <si>
    <t>Avg Accuracy Scores</t>
  </si>
  <si>
    <t>Satisfaction Score</t>
  </si>
  <si>
    <t>AI tools</t>
  </si>
  <si>
    <t>Usage Hours</t>
  </si>
  <si>
    <t>Productivity and Performance Impact</t>
  </si>
  <si>
    <t>Time Saving Analysis</t>
  </si>
  <si>
    <t>Sum of Time_Saved_Hours_Per_Week</t>
  </si>
  <si>
    <t>Time Saved Hours_Per_Week</t>
  </si>
  <si>
    <t>Average of AI_Usage_Hours_Per_Day</t>
  </si>
  <si>
    <t>Average of Time_Saved_Hours_Per_Week</t>
  </si>
  <si>
    <t>Average of Work_or_Study_Hours_Per_Day</t>
  </si>
  <si>
    <t>Usage Time</t>
  </si>
  <si>
    <t>Average Time saved weekly</t>
  </si>
  <si>
    <t xml:space="preserve"> AI_Usage_Hrs/Dy</t>
  </si>
  <si>
    <t>AI_Usage_Hrs/Dy</t>
  </si>
  <si>
    <t>Ph.D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</si>
</sst>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00_ ;_-[$$-409]* \-#,##0.00\ ;_-[$$-409]* &quot;-&quot;??_ ;_-@_ "/>
    <numFmt numFmtId="165" formatCode="_-[$$-409]* #,##0.0_ ;_-[$$-409]* \-#,##0.0\ ;_-[$$-409]* &quot;-&quot;??_ ;_-@_ "/>
    <numFmt numFmtId="177" formatCode="0.0"/>
  </numFmts>
  <fonts count="27"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0"/>
      <name val="Aptos Narrow"/>
      <family val="2"/>
      <scheme val="minor"/>
    </font>
    <font>
      <b/>
      <sz val="20"/>
      <color theme="0"/>
      <name val="Aptos Narrow"/>
      <family val="2"/>
      <scheme val="minor"/>
    </font>
    <font>
      <b/>
      <sz val="24"/>
      <color theme="0"/>
      <name val="Aptos Narrow"/>
      <family val="2"/>
      <scheme val="minor"/>
    </font>
    <font>
      <b/>
      <sz val="18"/>
      <color theme="1"/>
      <name val="Aptos Narrow"/>
      <family val="2"/>
      <scheme val="minor"/>
    </font>
    <font>
      <b/>
      <sz val="18"/>
      <name val="Aptos Narrow"/>
      <family val="2"/>
      <scheme val="minor"/>
    </font>
    <font>
      <b/>
      <sz val="18"/>
      <color theme="0"/>
      <name val="Aptos Narrow"/>
      <family val="2"/>
      <scheme val="minor"/>
    </font>
    <font>
      <b/>
      <sz val="22"/>
      <color theme="0"/>
      <name val="Aptos Narrow"/>
      <family val="2"/>
      <scheme val="minor"/>
    </font>
    <font>
      <sz val="22"/>
      <name val="Aptos Narrow"/>
      <family val="2"/>
      <scheme val="minor"/>
    </font>
    <font>
      <b/>
      <sz val="22"/>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1" tint="0.499984740745262"/>
        <bgColor indexed="64"/>
      </patternFill>
    </fill>
    <fill>
      <patternFill patternType="solid">
        <fgColor theme="3" tint="9.9978637043366805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0" fillId="0" borderId="0" xfId="0" applyAlignment="1">
      <alignment wrapText="1"/>
    </xf>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18" fillId="34" borderId="0" xfId="0" applyFont="1" applyFill="1"/>
    <xf numFmtId="0" fontId="18" fillId="34" borderId="0" xfId="0" applyFont="1" applyFill="1" applyAlignment="1">
      <alignment wrapText="1"/>
    </xf>
    <xf numFmtId="165" fontId="18" fillId="34" borderId="0" xfId="0" applyNumberFormat="1" applyFont="1" applyFill="1"/>
    <xf numFmtId="164" fontId="18" fillId="34" borderId="0" xfId="0" applyNumberFormat="1" applyFont="1" applyFill="1"/>
    <xf numFmtId="2" fontId="0" fillId="0" borderId="0" xfId="0" applyNumberFormat="1"/>
    <xf numFmtId="0" fontId="0" fillId="0" borderId="0" xfId="0" applyNumberFormat="1"/>
    <xf numFmtId="0" fontId="16" fillId="33" borderId="10" xfId="0" applyFont="1" applyFill="1" applyBorder="1"/>
    <xf numFmtId="0" fontId="0" fillId="35" borderId="0" xfId="0" applyFill="1"/>
    <xf numFmtId="0" fontId="19" fillId="35" borderId="0" xfId="0" applyFont="1" applyFill="1"/>
    <xf numFmtId="0" fontId="20" fillId="35" borderId="0" xfId="0" applyFont="1" applyFill="1"/>
    <xf numFmtId="0" fontId="21" fillId="0" borderId="0" xfId="0" applyFont="1"/>
    <xf numFmtId="0" fontId="22" fillId="0" borderId="0" xfId="0" applyFont="1"/>
    <xf numFmtId="0" fontId="23" fillId="35" borderId="0" xfId="0" applyFont="1" applyFill="1"/>
    <xf numFmtId="0" fontId="25" fillId="0" borderId="0" xfId="0" applyFont="1"/>
    <xf numFmtId="0" fontId="26" fillId="0" borderId="0" xfId="0" applyFont="1"/>
    <xf numFmtId="177" fontId="0" fillId="0" borderId="0" xfId="0" applyNumberFormat="1"/>
    <xf numFmtId="0" fontId="24" fillId="35"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
    <dxf>
      <numFmt numFmtId="2" formatCode="0.00"/>
    </dxf>
    <dxf>
      <numFmt numFmtId="2" formatCode="0.00"/>
    </dxf>
    <dxf>
      <numFmt numFmtId="177" formatCode="0.0"/>
    </dxf>
    <dxf>
      <numFmt numFmtId="2" formatCode="0.00"/>
    </dxf>
    <dxf>
      <numFmt numFmtId="2" formatCode="0.00"/>
    </dxf>
    <dxf>
      <numFmt numFmtId="2" formatCode="0.00"/>
    </dxf>
    <dxf>
      <numFmt numFmtId="177" formatCode="0.0"/>
    </dxf>
    <dxf>
      <numFmt numFmtId="2" formatCode="0.00"/>
    </dxf>
    <dxf>
      <numFmt numFmtId="2" formatCode="0.00"/>
    </dxf>
    <dxf>
      <numFmt numFmtId="2" formatCode="0.00"/>
    </dxf>
    <dxf>
      <numFmt numFmtId="177" formatCode="0.0"/>
    </dxf>
    <dxf>
      <numFmt numFmtId="2" formatCode="0.00"/>
    </dxf>
    <dxf>
      <font>
        <color rgb="FF9C0006"/>
      </font>
      <fill>
        <patternFill>
          <bgColor rgb="FFFFC7CE"/>
        </patternFill>
      </fill>
    </dxf>
    <dxf>
      <numFmt numFmtId="2" formatCode="0.00"/>
    </dxf>
    <dxf>
      <numFmt numFmtId="2" formatCode="0.00"/>
    </dxf>
    <dxf>
      <numFmt numFmtId="177" formatCode="0.0"/>
    </dxf>
    <dxf>
      <numFmt numFmtId="2" formatCode="0.00"/>
    </dxf>
    <dxf>
      <numFmt numFmtId="2" formatCode="0.00"/>
    </dxf>
    <dxf>
      <numFmt numFmtId="2" formatCode="0.00"/>
    </dxf>
    <dxf>
      <numFmt numFmtId="177" formatCode="0.0"/>
    </dxf>
    <dxf>
      <numFmt numFmtId="2" formatCode="0.00"/>
    </dxf>
    <dxf>
      <numFmt numFmtId="2" formatCode="0.00"/>
    </dxf>
    <dxf>
      <numFmt numFmtId="2" formatCode="0.00"/>
    </dxf>
    <dxf>
      <numFmt numFmtId="177" formatCode="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7.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8.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9.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0.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1.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2.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3.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4.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5.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6.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7.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38.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39.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0.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Usage</a:t>
            </a:r>
            <a:r>
              <a:rPr lang="en-US" baseline="0"/>
              <a:t> hour vs </a:t>
            </a:r>
            <a:r>
              <a:rPr lang="en-US"/>
              <a:t>Productivity_Score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G"/>
        </a:p>
      </c:txPr>
    </c:title>
    <c:autoTitleDeleted val="0"/>
    <c:plotArea>
      <c:layout/>
      <c:scatterChart>
        <c:scatterStyle val="lineMarker"/>
        <c:varyColors val="0"/>
        <c:ser>
          <c:idx val="0"/>
          <c:order val="0"/>
          <c:tx>
            <c:strRef>
              <c:f>AI_Usage_and_Impact_on_Students!$AL$1</c:f>
              <c:strCache>
                <c:ptCount val="1"/>
                <c:pt idx="0">
                  <c:v>Sum of Productivity_Score</c:v>
                </c:pt>
              </c:strCache>
            </c:strRef>
          </c:tx>
          <c:spPr>
            <a:ln w="38100" cap="rnd">
              <a:noFill/>
              <a:round/>
            </a:ln>
            <a:effectLst/>
          </c:spPr>
          <c:marker>
            <c:symbol val="circle"/>
            <c:size val="5"/>
            <c:spPr>
              <a:solidFill>
                <a:schemeClr val="accent1"/>
              </a:solidFill>
              <a:ln w="9525">
                <a:solidFill>
                  <a:schemeClr val="accent1"/>
                </a:solidFill>
              </a:ln>
              <a:effectLst/>
            </c:spPr>
          </c:marker>
          <c:xVal>
            <c:strRef>
              <c:f>AI_Usage_and_Impact_on_Students!$AK$2:$AK$29</c:f>
              <c:strCache>
                <c:ptCount val="28"/>
                <c:pt idx="0">
                  <c:v>0.6</c:v>
                </c:pt>
                <c:pt idx="1">
                  <c:v>0.7</c:v>
                </c:pt>
                <c:pt idx="2">
                  <c:v>0.9</c:v>
                </c:pt>
                <c:pt idx="3">
                  <c:v>1</c:v>
                </c:pt>
                <c:pt idx="4">
                  <c:v>1.2</c:v>
                </c:pt>
                <c:pt idx="5">
                  <c:v>1.3</c:v>
                </c:pt>
                <c:pt idx="6">
                  <c:v>1.4</c:v>
                </c:pt>
                <c:pt idx="7">
                  <c:v>1.5</c:v>
                </c:pt>
                <c:pt idx="8">
                  <c:v>1.6</c:v>
                </c:pt>
                <c:pt idx="9">
                  <c:v>1.7</c:v>
                </c:pt>
                <c:pt idx="10">
                  <c:v>1.9</c:v>
                </c:pt>
                <c:pt idx="11">
                  <c:v>2</c:v>
                </c:pt>
                <c:pt idx="12">
                  <c:v>2.2</c:v>
                </c:pt>
                <c:pt idx="13">
                  <c:v>2.3</c:v>
                </c:pt>
                <c:pt idx="14">
                  <c:v>2.8</c:v>
                </c:pt>
                <c:pt idx="15">
                  <c:v>2.9</c:v>
                </c:pt>
                <c:pt idx="16">
                  <c:v>3.3</c:v>
                </c:pt>
                <c:pt idx="17">
                  <c:v>3.4</c:v>
                </c:pt>
                <c:pt idx="18">
                  <c:v>3.7</c:v>
                </c:pt>
                <c:pt idx="19">
                  <c:v>3.9</c:v>
                </c:pt>
                <c:pt idx="20">
                  <c:v>4.1</c:v>
                </c:pt>
                <c:pt idx="21">
                  <c:v>4.4</c:v>
                </c:pt>
                <c:pt idx="22">
                  <c:v>4.9</c:v>
                </c:pt>
                <c:pt idx="23">
                  <c:v>5</c:v>
                </c:pt>
                <c:pt idx="24">
                  <c:v>5.4</c:v>
                </c:pt>
                <c:pt idx="25">
                  <c:v>5.5</c:v>
                </c:pt>
                <c:pt idx="26">
                  <c:v>5.7</c:v>
                </c:pt>
                <c:pt idx="27">
                  <c:v>(blank)</c:v>
                </c:pt>
              </c:strCache>
            </c:strRef>
          </c:xVal>
          <c:yVal>
            <c:numRef>
              <c:f>AI_Usage_and_Impact_on_Students!$AL$2:$AL$29</c:f>
              <c:numCache>
                <c:formatCode>General</c:formatCode>
                <c:ptCount val="28"/>
                <c:pt idx="0">
                  <c:v>39.1</c:v>
                </c:pt>
                <c:pt idx="1">
                  <c:v>48.199999999999996</c:v>
                </c:pt>
                <c:pt idx="2">
                  <c:v>31.399999999999991</c:v>
                </c:pt>
                <c:pt idx="3">
                  <c:v>22.400000000000002</c:v>
                </c:pt>
                <c:pt idx="4">
                  <c:v>36.9</c:v>
                </c:pt>
                <c:pt idx="5">
                  <c:v>34.1</c:v>
                </c:pt>
                <c:pt idx="6">
                  <c:v>23.599999999999998</c:v>
                </c:pt>
                <c:pt idx="7">
                  <c:v>49.5</c:v>
                </c:pt>
                <c:pt idx="8">
                  <c:v>51.800000000000004</c:v>
                </c:pt>
                <c:pt idx="9">
                  <c:v>56.3</c:v>
                </c:pt>
                <c:pt idx="10">
                  <c:v>46.5</c:v>
                </c:pt>
                <c:pt idx="11">
                  <c:v>40.900000000000006</c:v>
                </c:pt>
                <c:pt idx="12">
                  <c:v>25.6</c:v>
                </c:pt>
                <c:pt idx="13">
                  <c:v>28.299999999999997</c:v>
                </c:pt>
                <c:pt idx="14">
                  <c:v>30.299999999999997</c:v>
                </c:pt>
                <c:pt idx="15">
                  <c:v>26.200000000000003</c:v>
                </c:pt>
                <c:pt idx="16">
                  <c:v>26.7</c:v>
                </c:pt>
                <c:pt idx="17">
                  <c:v>33.400000000000006</c:v>
                </c:pt>
                <c:pt idx="18">
                  <c:v>25.9</c:v>
                </c:pt>
                <c:pt idx="19">
                  <c:v>34.1</c:v>
                </c:pt>
                <c:pt idx="20">
                  <c:v>29.099999999999998</c:v>
                </c:pt>
                <c:pt idx="21">
                  <c:v>27</c:v>
                </c:pt>
                <c:pt idx="22">
                  <c:v>31.000000000000004</c:v>
                </c:pt>
                <c:pt idx="23">
                  <c:v>27.5</c:v>
                </c:pt>
                <c:pt idx="24">
                  <c:v>24.6</c:v>
                </c:pt>
                <c:pt idx="25">
                  <c:v>23.7</c:v>
                </c:pt>
                <c:pt idx="26">
                  <c:v>22.5</c:v>
                </c:pt>
                <c:pt idx="27">
                  <c:v>39.599999999999994</c:v>
                </c:pt>
              </c:numCache>
            </c:numRef>
          </c:yVal>
          <c:smooth val="0"/>
          <c:extLst>
            <c:ext xmlns:c16="http://schemas.microsoft.com/office/drawing/2014/chart" uri="{C3380CC4-5D6E-409C-BE32-E72D297353CC}">
              <c16:uniqueId val="{00000000-BA34-42AD-B9BB-60E0A3578F2E}"/>
            </c:ext>
          </c:extLst>
        </c:ser>
        <c:dLbls>
          <c:showLegendKey val="0"/>
          <c:showVal val="0"/>
          <c:showCatName val="0"/>
          <c:showSerName val="0"/>
          <c:showPercent val="0"/>
          <c:showBubbleSize val="0"/>
        </c:dLbls>
        <c:axId val="363256399"/>
        <c:axId val="365479791"/>
      </c:scatterChart>
      <c:valAx>
        <c:axId val="363256399"/>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365479791"/>
        <c:crosses val="autoZero"/>
        <c:crossBetween val="midCat"/>
      </c:valAx>
      <c:valAx>
        <c:axId val="365479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3632563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G"/>
        </a:p>
      </c:txPr>
    </c:title>
    <c:autoTitleDeleted val="0"/>
    <c:plotArea>
      <c:layout/>
      <c:scatterChart>
        <c:scatterStyle val="lineMarker"/>
        <c:varyColors val="0"/>
        <c:ser>
          <c:idx val="0"/>
          <c:order val="0"/>
          <c:tx>
            <c:strRef>
              <c:f>AI_Usage_and_Impact_on_Students!$AO$1</c:f>
              <c:strCache>
                <c:ptCount val="1"/>
                <c:pt idx="0">
                  <c:v>Average of Time_Saved_Hours_Per_Week</c:v>
                </c:pt>
              </c:strCache>
            </c:strRef>
          </c:tx>
          <c:spPr>
            <a:ln w="38100" cap="rnd">
              <a:noFill/>
              <a:round/>
            </a:ln>
            <a:effectLst/>
          </c:spPr>
          <c:marker>
            <c:symbol val="circle"/>
            <c:size val="5"/>
            <c:spPr>
              <a:solidFill>
                <a:schemeClr val="accent1"/>
              </a:solidFill>
              <a:ln w="9525">
                <a:solidFill>
                  <a:schemeClr val="accent1"/>
                </a:solidFill>
              </a:ln>
              <a:effectLst/>
            </c:spPr>
          </c:marker>
          <c:xVal>
            <c:strRef>
              <c:f>AI_Usage_and_Impact_on_Students!$AN$2:$AN$77</c:f>
              <c:strCache>
                <c:ptCount val="76"/>
                <c:pt idx="0">
                  <c:v>0.5</c:v>
                </c:pt>
                <c:pt idx="1">
                  <c:v>0.6</c:v>
                </c:pt>
                <c:pt idx="2">
                  <c:v>0.7</c:v>
                </c:pt>
                <c:pt idx="3">
                  <c:v>0.8</c:v>
                </c:pt>
                <c:pt idx="4">
                  <c:v>0.9</c:v>
                </c:pt>
                <c:pt idx="5">
                  <c:v>1</c:v>
                </c:pt>
                <c:pt idx="6">
                  <c:v>1.1</c:v>
                </c:pt>
                <c:pt idx="7">
                  <c:v>1.2</c:v>
                </c:pt>
                <c:pt idx="8">
                  <c:v>1.3</c:v>
                </c:pt>
                <c:pt idx="9">
                  <c:v>1.4</c:v>
                </c:pt>
                <c:pt idx="10">
                  <c:v>1.5</c:v>
                </c:pt>
                <c:pt idx="11">
                  <c:v>1.6</c:v>
                </c:pt>
                <c:pt idx="12">
                  <c:v>1.7</c:v>
                </c:pt>
                <c:pt idx="13">
                  <c:v>1.8</c:v>
                </c:pt>
                <c:pt idx="14">
                  <c:v>1.9</c:v>
                </c:pt>
                <c:pt idx="15">
                  <c:v>2</c:v>
                </c:pt>
                <c:pt idx="16">
                  <c:v>2.1</c:v>
                </c:pt>
                <c:pt idx="17">
                  <c:v>2.2</c:v>
                </c:pt>
                <c:pt idx="18">
                  <c:v>2.3</c:v>
                </c:pt>
                <c:pt idx="19">
                  <c:v>2.4</c:v>
                </c:pt>
                <c:pt idx="20">
                  <c:v>2.5</c:v>
                </c:pt>
                <c:pt idx="21">
                  <c:v>2.6</c:v>
                </c:pt>
                <c:pt idx="22">
                  <c:v>2.7</c:v>
                </c:pt>
                <c:pt idx="23">
                  <c:v>2.8</c:v>
                </c:pt>
                <c:pt idx="24">
                  <c:v>2.9</c:v>
                </c:pt>
                <c:pt idx="25">
                  <c:v>3</c:v>
                </c:pt>
                <c:pt idx="26">
                  <c:v>3.1</c:v>
                </c:pt>
                <c:pt idx="27">
                  <c:v>3.2</c:v>
                </c:pt>
                <c:pt idx="28">
                  <c:v>3.3</c:v>
                </c:pt>
                <c:pt idx="29">
                  <c:v>3.4</c:v>
                </c:pt>
                <c:pt idx="30">
                  <c:v>3.5</c:v>
                </c:pt>
                <c:pt idx="31">
                  <c:v>3.6</c:v>
                </c:pt>
                <c:pt idx="32">
                  <c:v>3.7</c:v>
                </c:pt>
                <c:pt idx="33">
                  <c:v>3.8</c:v>
                </c:pt>
                <c:pt idx="34">
                  <c:v>3.9</c:v>
                </c:pt>
                <c:pt idx="35">
                  <c:v>4</c:v>
                </c:pt>
                <c:pt idx="36">
                  <c:v>4.1</c:v>
                </c:pt>
                <c:pt idx="37">
                  <c:v>4.2</c:v>
                </c:pt>
                <c:pt idx="38">
                  <c:v>4.3</c:v>
                </c:pt>
                <c:pt idx="39">
                  <c:v>4.4</c:v>
                </c:pt>
                <c:pt idx="40">
                  <c:v>4.5</c:v>
                </c:pt>
                <c:pt idx="41">
                  <c:v>4.6</c:v>
                </c:pt>
                <c:pt idx="42">
                  <c:v>4.8</c:v>
                </c:pt>
                <c:pt idx="43">
                  <c:v>4.9</c:v>
                </c:pt>
                <c:pt idx="44">
                  <c:v>5</c:v>
                </c:pt>
                <c:pt idx="45">
                  <c:v>5.1</c:v>
                </c:pt>
                <c:pt idx="46">
                  <c:v>5.2</c:v>
                </c:pt>
                <c:pt idx="47">
                  <c:v>5.3</c:v>
                </c:pt>
                <c:pt idx="48">
                  <c:v>5.4</c:v>
                </c:pt>
                <c:pt idx="49">
                  <c:v>5.5</c:v>
                </c:pt>
                <c:pt idx="50">
                  <c:v>5.7</c:v>
                </c:pt>
                <c:pt idx="51">
                  <c:v>5.8</c:v>
                </c:pt>
                <c:pt idx="52">
                  <c:v>5.9</c:v>
                </c:pt>
                <c:pt idx="53">
                  <c:v>6</c:v>
                </c:pt>
                <c:pt idx="54">
                  <c:v>6.1</c:v>
                </c:pt>
                <c:pt idx="55">
                  <c:v>6.3</c:v>
                </c:pt>
                <c:pt idx="56">
                  <c:v>6.5</c:v>
                </c:pt>
                <c:pt idx="57">
                  <c:v>6.8</c:v>
                </c:pt>
                <c:pt idx="58">
                  <c:v>7</c:v>
                </c:pt>
                <c:pt idx="59">
                  <c:v>7.1</c:v>
                </c:pt>
                <c:pt idx="60">
                  <c:v>7.2</c:v>
                </c:pt>
                <c:pt idx="61">
                  <c:v>7.4</c:v>
                </c:pt>
                <c:pt idx="62">
                  <c:v>7.7</c:v>
                </c:pt>
                <c:pt idx="63">
                  <c:v>7.9</c:v>
                </c:pt>
                <c:pt idx="64">
                  <c:v>8</c:v>
                </c:pt>
                <c:pt idx="65">
                  <c:v>8.1</c:v>
                </c:pt>
                <c:pt idx="66">
                  <c:v>8.5</c:v>
                </c:pt>
                <c:pt idx="67">
                  <c:v>8.6</c:v>
                </c:pt>
                <c:pt idx="68">
                  <c:v>9.1</c:v>
                </c:pt>
                <c:pt idx="69">
                  <c:v>9.5</c:v>
                </c:pt>
                <c:pt idx="70">
                  <c:v>9.6</c:v>
                </c:pt>
                <c:pt idx="71">
                  <c:v>9.7</c:v>
                </c:pt>
                <c:pt idx="72">
                  <c:v>9.8</c:v>
                </c:pt>
                <c:pt idx="73">
                  <c:v>9.9</c:v>
                </c:pt>
                <c:pt idx="74">
                  <c:v>23</c:v>
                </c:pt>
                <c:pt idx="75">
                  <c:v>(blank)</c:v>
                </c:pt>
              </c:strCache>
            </c:strRef>
          </c:xVal>
          <c:yVal>
            <c:numRef>
              <c:f>AI_Usage_and_Impact_on_Students!$AO$2:$AO$77</c:f>
              <c:numCache>
                <c:formatCode>0.00</c:formatCode>
                <c:ptCount val="76"/>
                <c:pt idx="0" formatCode="General">
                  <c:v>1.8199999999999998</c:v>
                </c:pt>
                <c:pt idx="1">
                  <c:v>1.99166666666667</c:v>
                </c:pt>
                <c:pt idx="2" formatCode="General">
                  <c:v>2.375</c:v>
                </c:pt>
                <c:pt idx="3" formatCode="General">
                  <c:v>1.7</c:v>
                </c:pt>
                <c:pt idx="4" formatCode="General">
                  <c:v>1.375</c:v>
                </c:pt>
                <c:pt idx="5" formatCode="General">
                  <c:v>2.5857142857142859</c:v>
                </c:pt>
                <c:pt idx="6" formatCode="General">
                  <c:v>5.35</c:v>
                </c:pt>
                <c:pt idx="7" formatCode="General">
                  <c:v>2.8555555555555556</c:v>
                </c:pt>
                <c:pt idx="8" formatCode="General">
                  <c:v>3.0888888888888895</c:v>
                </c:pt>
                <c:pt idx="9" formatCode="General">
                  <c:v>2.4555555555555557</c:v>
                </c:pt>
                <c:pt idx="10" formatCode="General">
                  <c:v>4.1166666666666663</c:v>
                </c:pt>
                <c:pt idx="11" formatCode="General">
                  <c:v>4.8916666666666666</c:v>
                </c:pt>
                <c:pt idx="12" formatCode="General">
                  <c:v>4.4750000000000005</c:v>
                </c:pt>
                <c:pt idx="13" formatCode="General">
                  <c:v>3.9666666666666663</c:v>
                </c:pt>
                <c:pt idx="14" formatCode="General">
                  <c:v>3.6363636363636362</c:v>
                </c:pt>
                <c:pt idx="15" formatCode="General">
                  <c:v>4.1625000000000005</c:v>
                </c:pt>
                <c:pt idx="16" formatCode="General">
                  <c:v>3.4</c:v>
                </c:pt>
                <c:pt idx="17" formatCode="General">
                  <c:v>3.38</c:v>
                </c:pt>
                <c:pt idx="18" formatCode="General">
                  <c:v>2.9166666666666665</c:v>
                </c:pt>
                <c:pt idx="19" formatCode="General">
                  <c:v>4.8500000000000005</c:v>
                </c:pt>
                <c:pt idx="20" formatCode="General">
                  <c:v>5</c:v>
                </c:pt>
                <c:pt idx="21" formatCode="General">
                  <c:v>4.2</c:v>
                </c:pt>
                <c:pt idx="22" formatCode="General">
                  <c:v>6.375</c:v>
                </c:pt>
                <c:pt idx="23" formatCode="General">
                  <c:v>6.6400000000000006</c:v>
                </c:pt>
                <c:pt idx="24" formatCode="General">
                  <c:v>7.7666666666666666</c:v>
                </c:pt>
                <c:pt idx="25" formatCode="General">
                  <c:v>6.4</c:v>
                </c:pt>
                <c:pt idx="26" formatCode="General">
                  <c:v>5.2</c:v>
                </c:pt>
                <c:pt idx="27" formatCode="General">
                  <c:v>7.4</c:v>
                </c:pt>
                <c:pt idx="28" formatCode="General">
                  <c:v>6.625</c:v>
                </c:pt>
                <c:pt idx="29" formatCode="General">
                  <c:v>7.1500000000000012</c:v>
                </c:pt>
                <c:pt idx="30" formatCode="General">
                  <c:v>7.65</c:v>
                </c:pt>
                <c:pt idx="31" formatCode="General">
                  <c:v>5.2</c:v>
                </c:pt>
                <c:pt idx="32" formatCode="General">
                  <c:v>7.2249999999999996</c:v>
                </c:pt>
                <c:pt idx="33" formatCode="General">
                  <c:v>8.1999999999999993</c:v>
                </c:pt>
                <c:pt idx="34" formatCode="General">
                  <c:v>8.48</c:v>
                </c:pt>
                <c:pt idx="35" formatCode="General">
                  <c:v>6.8000000000000007</c:v>
                </c:pt>
                <c:pt idx="36" formatCode="General">
                  <c:v>7.92</c:v>
                </c:pt>
                <c:pt idx="37" formatCode="General">
                  <c:v>5.6</c:v>
                </c:pt>
                <c:pt idx="38" formatCode="General">
                  <c:v>6.5333333333333341</c:v>
                </c:pt>
                <c:pt idx="39" formatCode="General">
                  <c:v>7.95</c:v>
                </c:pt>
                <c:pt idx="40" formatCode="General">
                  <c:v>5.5</c:v>
                </c:pt>
                <c:pt idx="41" formatCode="General">
                  <c:v>9.6999999999999993</c:v>
                </c:pt>
                <c:pt idx="42" formatCode="General">
                  <c:v>5.7</c:v>
                </c:pt>
                <c:pt idx="43" formatCode="General">
                  <c:v>9.18</c:v>
                </c:pt>
                <c:pt idx="44" formatCode="0.0">
                  <c:v>11.066666666666668</c:v>
                </c:pt>
                <c:pt idx="45" formatCode="0.0">
                  <c:v>11.4</c:v>
                </c:pt>
                <c:pt idx="46" formatCode="0.0">
                  <c:v>12.1</c:v>
                </c:pt>
                <c:pt idx="47" formatCode="0.0">
                  <c:v>10.7</c:v>
                </c:pt>
                <c:pt idx="48" formatCode="0.0">
                  <c:v>10.200000000000001</c:v>
                </c:pt>
                <c:pt idx="49" formatCode="0.0">
                  <c:v>9.5500000000000007</c:v>
                </c:pt>
                <c:pt idx="50" formatCode="0.0">
                  <c:v>12.6</c:v>
                </c:pt>
                <c:pt idx="51" formatCode="0.0">
                  <c:v>11.85</c:v>
                </c:pt>
                <c:pt idx="52" formatCode="0.0">
                  <c:v>11.166666666666666</c:v>
                </c:pt>
                <c:pt idx="53" formatCode="0.0">
                  <c:v>13.1</c:v>
                </c:pt>
                <c:pt idx="54" formatCode="0.0">
                  <c:v>8.9</c:v>
                </c:pt>
                <c:pt idx="55" formatCode="0.0">
                  <c:v>10</c:v>
                </c:pt>
                <c:pt idx="56" formatCode="0.0">
                  <c:v>14.2</c:v>
                </c:pt>
                <c:pt idx="57" formatCode="0.0">
                  <c:v>14.1</c:v>
                </c:pt>
                <c:pt idx="58" formatCode="0.0">
                  <c:v>12.8</c:v>
                </c:pt>
                <c:pt idx="59" formatCode="0.0">
                  <c:v>11.6</c:v>
                </c:pt>
                <c:pt idx="60" formatCode="0.0">
                  <c:v>12.45</c:v>
                </c:pt>
                <c:pt idx="61" formatCode="0.0">
                  <c:v>12.3</c:v>
                </c:pt>
                <c:pt idx="62" formatCode="0.0">
                  <c:v>13.6</c:v>
                </c:pt>
                <c:pt idx="63" formatCode="0.0">
                  <c:v>14.2</c:v>
                </c:pt>
                <c:pt idx="64" formatCode="0.0">
                  <c:v>16.05</c:v>
                </c:pt>
                <c:pt idx="65" formatCode="0.0">
                  <c:v>16.5</c:v>
                </c:pt>
                <c:pt idx="66" formatCode="0.0">
                  <c:v>15.6</c:v>
                </c:pt>
                <c:pt idx="67" formatCode="0.0">
                  <c:v>17.7</c:v>
                </c:pt>
                <c:pt idx="68" formatCode="0.0">
                  <c:v>14.9</c:v>
                </c:pt>
                <c:pt idx="69" formatCode="0.0">
                  <c:v>15.2</c:v>
                </c:pt>
                <c:pt idx="70" formatCode="0.0">
                  <c:v>19.399999999999999</c:v>
                </c:pt>
                <c:pt idx="71" formatCode="0.0">
                  <c:v>17.2</c:v>
                </c:pt>
                <c:pt idx="72" formatCode="0.0">
                  <c:v>15.8</c:v>
                </c:pt>
                <c:pt idx="73" formatCode="0.0">
                  <c:v>16.2</c:v>
                </c:pt>
                <c:pt idx="74" formatCode="0.0">
                  <c:v>5.4</c:v>
                </c:pt>
                <c:pt idx="75" formatCode="General">
                  <c:v>5.7000000000000011</c:v>
                </c:pt>
              </c:numCache>
            </c:numRef>
          </c:yVal>
          <c:smooth val="0"/>
          <c:extLst>
            <c:ext xmlns:c16="http://schemas.microsoft.com/office/drawing/2014/chart" uri="{C3380CC4-5D6E-409C-BE32-E72D297353CC}">
              <c16:uniqueId val="{00000000-7440-4743-BAF7-88FFF270DD9F}"/>
            </c:ext>
          </c:extLst>
        </c:ser>
        <c:dLbls>
          <c:showLegendKey val="0"/>
          <c:showVal val="0"/>
          <c:showCatName val="0"/>
          <c:showSerName val="0"/>
          <c:showPercent val="0"/>
          <c:showBubbleSize val="0"/>
        </c:dLbls>
        <c:axId val="547438511"/>
        <c:axId val="365464431"/>
      </c:scatterChart>
      <c:valAx>
        <c:axId val="54743851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365464431"/>
        <c:crosses val="autoZero"/>
        <c:crossBetween val="midCat"/>
      </c:valAx>
      <c:valAx>
        <c:axId val="365464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5474385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[AI_Usage_and_Impact_on_Students_and_Professionals.xlsx]EDA PT!PivotTable5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'EDA PT'!$B$3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'EDA PT'!$A$4:$A$7</c:f>
              <c:strCache>
                <c:ptCount val="3"/>
                <c:pt idx="1">
                  <c:v>Female</c:v>
                </c:pt>
                <c:pt idx="2">
                  <c:v>Male</c:v>
                </c:pt>
              </c:strCache>
            </c:strRef>
          </c:cat>
          <c:val>
            <c:numRef>
              <c:f>'EDA PT'!$B$4:$B$7</c:f>
              <c:numCache>
                <c:formatCode>General</c:formatCode>
                <c:ptCount val="3"/>
                <c:pt idx="0">
                  <c:v>9</c:v>
                </c:pt>
                <c:pt idx="1">
                  <c:v>119</c:v>
                </c:pt>
                <c:pt idx="2">
                  <c:v>145</c:v>
                </c:pt>
              </c:numCache>
            </c:numRef>
          </c:val>
          <c:extLst>
            <c:ext xmlns:c16="http://schemas.microsoft.com/office/drawing/2014/chart" uri="{C3380CC4-5D6E-409C-BE32-E72D297353CC}">
              <c16:uniqueId val="{00000000-1F44-4050-9DCB-DFA49676BB0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[AI_Usage_and_Impact_on_Students_and_Professionals.xlsx]EDA PT!PivotTable7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PT'!$E$3</c:f>
              <c:strCache>
                <c:ptCount val="1"/>
                <c:pt idx="0">
                  <c:v>Total</c:v>
                </c:pt>
              </c:strCache>
            </c:strRef>
          </c:tx>
          <c:spPr>
            <a:solidFill>
              <a:schemeClr val="accent1"/>
            </a:solidFill>
            <a:ln>
              <a:noFill/>
            </a:ln>
            <a:effectLst/>
          </c:spPr>
          <c:invertIfNegative val="0"/>
          <c:cat>
            <c:strRef>
              <c:f>'EDA PT'!$D$4:$D$17</c:f>
              <c:strCache>
                <c:ptCount val="13"/>
                <c:pt idx="0">
                  <c:v>Australia</c:v>
                </c:pt>
                <c:pt idx="1">
                  <c:v>Brazil</c:v>
                </c:pt>
                <c:pt idx="2">
                  <c:v>Canada</c:v>
                </c:pt>
                <c:pt idx="3">
                  <c:v>France</c:v>
                </c:pt>
                <c:pt idx="4">
                  <c:v>Germany</c:v>
                </c:pt>
                <c:pt idx="5">
                  <c:v>India</c:v>
                </c:pt>
                <c:pt idx="6">
                  <c:v>Kenya</c:v>
                </c:pt>
                <c:pt idx="7">
                  <c:v>Nigeria</c:v>
                </c:pt>
                <c:pt idx="8">
                  <c:v>Pakistan</c:v>
                </c:pt>
                <c:pt idx="9">
                  <c:v>Philippines</c:v>
                </c:pt>
                <c:pt idx="10">
                  <c:v>United Kingdom</c:v>
                </c:pt>
                <c:pt idx="11">
                  <c:v>United States</c:v>
                </c:pt>
              </c:strCache>
            </c:strRef>
          </c:cat>
          <c:val>
            <c:numRef>
              <c:f>'EDA PT'!$E$4:$E$17</c:f>
              <c:numCache>
                <c:formatCode>General</c:formatCode>
                <c:ptCount val="13"/>
                <c:pt idx="0">
                  <c:v>20</c:v>
                </c:pt>
                <c:pt idx="1">
                  <c:v>26</c:v>
                </c:pt>
                <c:pt idx="2">
                  <c:v>31</c:v>
                </c:pt>
                <c:pt idx="3">
                  <c:v>10</c:v>
                </c:pt>
                <c:pt idx="4">
                  <c:v>13</c:v>
                </c:pt>
                <c:pt idx="5">
                  <c:v>43</c:v>
                </c:pt>
                <c:pt idx="6">
                  <c:v>6</c:v>
                </c:pt>
                <c:pt idx="7">
                  <c:v>17</c:v>
                </c:pt>
                <c:pt idx="8">
                  <c:v>28</c:v>
                </c:pt>
                <c:pt idx="9">
                  <c:v>24</c:v>
                </c:pt>
                <c:pt idx="10">
                  <c:v>26</c:v>
                </c:pt>
                <c:pt idx="11">
                  <c:v>34</c:v>
                </c:pt>
                <c:pt idx="12">
                  <c:v>10</c:v>
                </c:pt>
              </c:numCache>
            </c:numRef>
          </c:val>
          <c:extLst>
            <c:ext xmlns:c16="http://schemas.microsoft.com/office/drawing/2014/chart" uri="{C3380CC4-5D6E-409C-BE32-E72D297353CC}">
              <c16:uniqueId val="{00000000-F0F9-4155-BB41-8BB2F277545A}"/>
            </c:ext>
          </c:extLst>
        </c:ser>
        <c:dLbls>
          <c:showLegendKey val="0"/>
          <c:showVal val="0"/>
          <c:showCatName val="0"/>
          <c:showSerName val="0"/>
          <c:showPercent val="0"/>
          <c:showBubbleSize val="0"/>
        </c:dLbls>
        <c:gapWidth val="219"/>
        <c:overlap val="-27"/>
        <c:axId val="278896431"/>
        <c:axId val="365515791"/>
      </c:barChart>
      <c:catAx>
        <c:axId val="278896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365515791"/>
        <c:crosses val="autoZero"/>
        <c:auto val="1"/>
        <c:lblAlgn val="ctr"/>
        <c:lblOffset val="100"/>
        <c:noMultiLvlLbl val="0"/>
      </c:catAx>
      <c:valAx>
        <c:axId val="365515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278896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[AI_Usage_and_Impact_on_Students_and_Professionals.xlsx]EDA PT!PivotTable8</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 PT'!$H$3</c:f>
              <c:strCache>
                <c:ptCount val="1"/>
                <c:pt idx="0">
                  <c:v>Total</c:v>
                </c:pt>
              </c:strCache>
            </c:strRef>
          </c:tx>
          <c:spPr>
            <a:solidFill>
              <a:schemeClr val="accent1"/>
            </a:solidFill>
            <a:ln>
              <a:noFill/>
            </a:ln>
            <a:effectLst/>
          </c:spPr>
          <c:invertIfNegative val="0"/>
          <c:cat>
            <c:strRef>
              <c:f>'EDA PT'!$G$4:$G$11</c:f>
              <c:strCache>
                <c:ptCount val="7"/>
                <c:pt idx="0">
                  <c:v>Bachelor's</c:v>
                </c:pt>
                <c:pt idx="1">
                  <c:v>Diploma</c:v>
                </c:pt>
                <c:pt idx="2">
                  <c:v>High School</c:v>
                </c:pt>
                <c:pt idx="3">
                  <c:v>Master's</c:v>
                </c:pt>
                <c:pt idx="4">
                  <c:v>Undergraduate</c:v>
                </c:pt>
                <c:pt idx="5">
                  <c:v>(blank)</c:v>
                </c:pt>
                <c:pt idx="6">
                  <c:v>Ph.D</c:v>
                </c:pt>
              </c:strCache>
            </c:strRef>
          </c:cat>
          <c:val>
            <c:numRef>
              <c:f>'EDA PT'!$H$4:$H$11</c:f>
              <c:numCache>
                <c:formatCode>General</c:formatCode>
                <c:ptCount val="7"/>
                <c:pt idx="0">
                  <c:v>74</c:v>
                </c:pt>
                <c:pt idx="1">
                  <c:v>25</c:v>
                </c:pt>
                <c:pt idx="2">
                  <c:v>46</c:v>
                </c:pt>
                <c:pt idx="3">
                  <c:v>52</c:v>
                </c:pt>
                <c:pt idx="4">
                  <c:v>63</c:v>
                </c:pt>
                <c:pt idx="5">
                  <c:v>12</c:v>
                </c:pt>
                <c:pt idx="6">
                  <c:v>16</c:v>
                </c:pt>
              </c:numCache>
            </c:numRef>
          </c:val>
          <c:extLst>
            <c:ext xmlns:c16="http://schemas.microsoft.com/office/drawing/2014/chart" uri="{C3380CC4-5D6E-409C-BE32-E72D297353CC}">
              <c16:uniqueId val="{00000000-56BA-4B40-BCE9-D8D10E89BC3C}"/>
            </c:ext>
          </c:extLst>
        </c:ser>
        <c:dLbls>
          <c:showLegendKey val="0"/>
          <c:showVal val="0"/>
          <c:showCatName val="0"/>
          <c:showSerName val="0"/>
          <c:showPercent val="0"/>
          <c:showBubbleSize val="0"/>
        </c:dLbls>
        <c:gapWidth val="182"/>
        <c:axId val="369059055"/>
        <c:axId val="365500431"/>
      </c:barChart>
      <c:catAx>
        <c:axId val="3690590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365500431"/>
        <c:crosses val="autoZero"/>
        <c:auto val="1"/>
        <c:lblAlgn val="ctr"/>
        <c:lblOffset val="10"/>
        <c:tickLblSkip val="1"/>
        <c:noMultiLvlLbl val="0"/>
      </c:catAx>
      <c:valAx>
        <c:axId val="3655004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369059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[AI_Usage_and_Impact_on_Students_and_Professionals.xlsx]EDA PT!PivotTable9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PT'!$K$3</c:f>
              <c:strCache>
                <c:ptCount val="1"/>
                <c:pt idx="0">
                  <c:v>Total</c:v>
                </c:pt>
              </c:strCache>
            </c:strRef>
          </c:tx>
          <c:spPr>
            <a:solidFill>
              <a:schemeClr val="accent1"/>
            </a:solidFill>
            <a:ln>
              <a:noFill/>
            </a:ln>
            <a:effectLst/>
          </c:spPr>
          <c:invertIfNegative val="0"/>
          <c:cat>
            <c:strRef>
              <c:f>'EDA PT'!$J$4:$J$14</c:f>
              <c:strCache>
                <c:ptCount val="10"/>
                <c:pt idx="0">
                  <c:v>Biology Student</c:v>
                </c:pt>
                <c:pt idx="1">
                  <c:v>Business Administration Student</c:v>
                </c:pt>
                <c:pt idx="2">
                  <c:v>Computer Science Student</c:v>
                </c:pt>
                <c:pt idx="3">
                  <c:v>Content Writer</c:v>
                </c:pt>
                <c:pt idx="4">
                  <c:v>Data Science Student</c:v>
                </c:pt>
                <c:pt idx="5">
                  <c:v>English Literature Student</c:v>
                </c:pt>
                <c:pt idx="6">
                  <c:v>Mechanical Engineering Student</c:v>
                </c:pt>
                <c:pt idx="7">
                  <c:v>Software Developer</c:v>
                </c:pt>
                <c:pt idx="8">
                  <c:v>Software Engineering Student</c:v>
                </c:pt>
                <c:pt idx="9">
                  <c:v>(blank)</c:v>
                </c:pt>
              </c:strCache>
            </c:strRef>
          </c:cat>
          <c:val>
            <c:numRef>
              <c:f>'EDA PT'!$K$4:$K$14</c:f>
              <c:numCache>
                <c:formatCode>General</c:formatCode>
                <c:ptCount val="10"/>
                <c:pt idx="0">
                  <c:v>11</c:v>
                </c:pt>
                <c:pt idx="1">
                  <c:v>6</c:v>
                </c:pt>
                <c:pt idx="2">
                  <c:v>18</c:v>
                </c:pt>
                <c:pt idx="3">
                  <c:v>8</c:v>
                </c:pt>
                <c:pt idx="4">
                  <c:v>10</c:v>
                </c:pt>
                <c:pt idx="5">
                  <c:v>24</c:v>
                </c:pt>
                <c:pt idx="6">
                  <c:v>10</c:v>
                </c:pt>
                <c:pt idx="7">
                  <c:v>7</c:v>
                </c:pt>
                <c:pt idx="8">
                  <c:v>7</c:v>
                </c:pt>
                <c:pt idx="9">
                  <c:v>14</c:v>
                </c:pt>
              </c:numCache>
            </c:numRef>
          </c:val>
          <c:extLst>
            <c:ext xmlns:c16="http://schemas.microsoft.com/office/drawing/2014/chart" uri="{C3380CC4-5D6E-409C-BE32-E72D297353CC}">
              <c16:uniqueId val="{00000000-9470-4EE7-9D5A-3E8A2666A43E}"/>
            </c:ext>
          </c:extLst>
        </c:ser>
        <c:dLbls>
          <c:showLegendKey val="0"/>
          <c:showVal val="0"/>
          <c:showCatName val="0"/>
          <c:showSerName val="0"/>
          <c:showPercent val="0"/>
          <c:showBubbleSize val="0"/>
        </c:dLbls>
        <c:gapWidth val="219"/>
        <c:overlap val="-27"/>
        <c:axId val="443056175"/>
        <c:axId val="365448591"/>
      </c:barChart>
      <c:catAx>
        <c:axId val="44305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365448591"/>
        <c:crosses val="autoZero"/>
        <c:auto val="1"/>
        <c:lblAlgn val="ctr"/>
        <c:lblOffset val="100"/>
        <c:noMultiLvlLbl val="0"/>
      </c:catAx>
      <c:valAx>
        <c:axId val="365448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443056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[AI_Usage_and_Impact_on_Students_and_Professionals.xlsx]EDA PT!PivotTable10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'EDA PT'!$N$3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'EDA PT'!$M$4:$M$6</c:f>
              <c:strCache>
                <c:ptCount val="2"/>
                <c:pt idx="0">
                  <c:v>Professional</c:v>
                </c:pt>
                <c:pt idx="1">
                  <c:v>Student</c:v>
                </c:pt>
              </c:strCache>
            </c:strRef>
          </c:cat>
          <c:val>
            <c:numRef>
              <c:f>'EDA PT'!$N$4:$N$6</c:f>
              <c:numCache>
                <c:formatCode>General</c:formatCode>
                <c:ptCount val="2"/>
                <c:pt idx="0">
                  <c:v>137</c:v>
                </c:pt>
                <c:pt idx="1">
                  <c:v>151</c:v>
                </c:pt>
              </c:numCache>
            </c:numRef>
          </c:val>
          <c:extLst>
            <c:ext xmlns:c16="http://schemas.microsoft.com/office/drawing/2014/chart" uri="{C3380CC4-5D6E-409C-BE32-E72D297353CC}">
              <c16:uniqueId val="{00000000-82D7-4F27-B2B0-013CE032E3A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[AI_Usage_and_Impact_on_Students_and_Professionals.xlsx]EDA PT!PivotTable16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'EDA PT'!$B$42</c:f>
              <c:strCache>
                <c:ptCount val="1"/>
                <c:pt idx="0">
                  <c:v>Total</c:v>
                </c:pt>
              </c:strCache>
            </c:strRef>
          </c:tx>
          <c:spPr>
            <a:solidFill>
              <a:schemeClr val="accent1"/>
            </a:solidFill>
            <a:ln>
              <a:noFill/>
            </a:ln>
            <a:effectLst/>
          </c:spPr>
          <c:invertIfNegative val="0"/>
          <c:cat>
            <c:strRef>
              <c:f>'EDA PT'!$A$43:$A$52</c:f>
              <c:strCache>
                <c:ptCount val="9"/>
                <c:pt idx="0">
                  <c:v>Chat GPT</c:v>
                </c:pt>
                <c:pt idx="1">
                  <c:v>Claude</c:v>
                </c:pt>
                <c:pt idx="2">
                  <c:v>Copilot</c:v>
                </c:pt>
                <c:pt idx="3">
                  <c:v>DeepSeek</c:v>
                </c:pt>
                <c:pt idx="4">
                  <c:v>Gemini</c:v>
                </c:pt>
                <c:pt idx="5">
                  <c:v>Grammarly</c:v>
                </c:pt>
                <c:pt idx="6">
                  <c:v>Meta AI</c:v>
                </c:pt>
                <c:pt idx="7">
                  <c:v>Perplexity AI</c:v>
                </c:pt>
                <c:pt idx="8">
                  <c:v>(blank)</c:v>
                </c:pt>
              </c:strCache>
            </c:strRef>
          </c:cat>
          <c:val>
            <c:numRef>
              <c:f>'EDA PT'!$B$43:$B$52</c:f>
              <c:numCache>
                <c:formatCode>General</c:formatCode>
                <c:ptCount val="9"/>
                <c:pt idx="0">
                  <c:v>119</c:v>
                </c:pt>
                <c:pt idx="1">
                  <c:v>31</c:v>
                </c:pt>
                <c:pt idx="2">
                  <c:v>33</c:v>
                </c:pt>
                <c:pt idx="3">
                  <c:v>9</c:v>
                </c:pt>
                <c:pt idx="4">
                  <c:v>39</c:v>
                </c:pt>
                <c:pt idx="5">
                  <c:v>14</c:v>
                </c:pt>
                <c:pt idx="6">
                  <c:v>10</c:v>
                </c:pt>
                <c:pt idx="7">
                  <c:v>23</c:v>
                </c:pt>
                <c:pt idx="8">
                  <c:v>10</c:v>
                </c:pt>
              </c:numCache>
            </c:numRef>
          </c:val>
          <c:extLst>
            <c:ext xmlns:c16="http://schemas.microsoft.com/office/drawing/2014/chart" uri="{C3380CC4-5D6E-409C-BE32-E72D297353CC}">
              <c16:uniqueId val="{00000000-98A8-4D0B-867C-2383FC54AC8E}"/>
            </c:ext>
          </c:extLst>
        </c:ser>
        <c:dLbls>
          <c:showLegendKey val="0"/>
          <c:showVal val="0"/>
          <c:showCatName val="0"/>
          <c:showSerName val="0"/>
          <c:showPercent val="0"/>
          <c:showBubbleSize val="0"/>
        </c:dLbls>
        <c:gapWidth val="150"/>
        <c:overlap val="100"/>
        <c:axId val="278895039"/>
        <c:axId val="365432271"/>
      </c:barChart>
      <c:catAx>
        <c:axId val="27889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365432271"/>
        <c:crosses val="autoZero"/>
        <c:auto val="1"/>
        <c:lblAlgn val="ctr"/>
        <c:lblOffset val="100"/>
        <c:noMultiLvlLbl val="0"/>
      </c:catAx>
      <c:valAx>
        <c:axId val="36543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278895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[AI_Usage_and_Impact_on_Students_and_Professionals.xlsx]EDA PT!PivotTable17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PT'!$E$42</c:f>
              <c:strCache>
                <c:ptCount val="1"/>
                <c:pt idx="0">
                  <c:v>Total</c:v>
                </c:pt>
              </c:strCache>
            </c:strRef>
          </c:tx>
          <c:spPr>
            <a:solidFill>
              <a:schemeClr val="accent1"/>
            </a:solidFill>
            <a:ln>
              <a:noFill/>
            </a:ln>
            <a:effectLst/>
          </c:spPr>
          <c:invertIfNegative val="0"/>
          <c:cat>
            <c:strRef>
              <c:f>'EDA PT'!$D$43:$D$45</c:f>
              <c:strCache>
                <c:ptCount val="2"/>
                <c:pt idx="0">
                  <c:v>Professional</c:v>
                </c:pt>
                <c:pt idx="1">
                  <c:v>Student</c:v>
                </c:pt>
              </c:strCache>
            </c:strRef>
          </c:cat>
          <c:val>
            <c:numRef>
              <c:f>'EDA PT'!$E$43:$E$45</c:f>
              <c:numCache>
                <c:formatCode>General</c:formatCode>
                <c:ptCount val="2"/>
                <c:pt idx="0">
                  <c:v>387.59999999999997</c:v>
                </c:pt>
                <c:pt idx="1">
                  <c:v>438.99999999999989</c:v>
                </c:pt>
              </c:numCache>
            </c:numRef>
          </c:val>
          <c:extLst>
            <c:ext xmlns:c16="http://schemas.microsoft.com/office/drawing/2014/chart" uri="{C3380CC4-5D6E-409C-BE32-E72D297353CC}">
              <c16:uniqueId val="{00000000-F82D-4772-A35D-10902E732917}"/>
            </c:ext>
          </c:extLst>
        </c:ser>
        <c:dLbls>
          <c:showLegendKey val="0"/>
          <c:showVal val="0"/>
          <c:showCatName val="0"/>
          <c:showSerName val="0"/>
          <c:showPercent val="0"/>
          <c:showBubbleSize val="0"/>
        </c:dLbls>
        <c:gapWidth val="219"/>
        <c:overlap val="-27"/>
        <c:axId val="445124575"/>
        <c:axId val="365500911"/>
      </c:barChart>
      <c:catAx>
        <c:axId val="4451245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365500911"/>
        <c:crosses val="autoZero"/>
        <c:auto val="1"/>
        <c:lblAlgn val="ctr"/>
        <c:lblOffset val="100"/>
        <c:noMultiLvlLbl val="0"/>
      </c:catAx>
      <c:valAx>
        <c:axId val="36550091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445124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[AI_Usage_and_Impact_on_Students_and_Professionals.xlsx]EDA PT!PivotTable18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 PT'!$H$42</c:f>
              <c:strCache>
                <c:ptCount val="1"/>
                <c:pt idx="0">
                  <c:v>Total</c:v>
                </c:pt>
              </c:strCache>
            </c:strRef>
          </c:tx>
          <c:spPr>
            <a:solidFill>
              <a:schemeClr val="accent1"/>
            </a:solidFill>
            <a:ln>
              <a:noFill/>
            </a:ln>
            <a:effectLst/>
          </c:spPr>
          <c:invertIfNegative val="0"/>
          <c:cat>
            <c:strRef>
              <c:f>'EDA PT'!$G$43:$G$63</c:f>
              <c:strCache>
                <c:ptCount val="20"/>
                <c:pt idx="0">
                  <c:v>Administrative Assistant</c:v>
                </c:pt>
                <c:pt idx="1">
                  <c:v>AI Customer Support Specialist</c:v>
                </c:pt>
                <c:pt idx="2">
                  <c:v>Biology Student</c:v>
                </c:pt>
                <c:pt idx="3">
                  <c:v>Business Administration Student</c:v>
                </c:pt>
                <c:pt idx="4">
                  <c:v>Computer Science Student</c:v>
                </c:pt>
                <c:pt idx="5">
                  <c:v>Content Strategy Manager</c:v>
                </c:pt>
                <c:pt idx="6">
                  <c:v>Content Writer</c:v>
                </c:pt>
                <c:pt idx="7">
                  <c:v>Creative Writing Student</c:v>
                </c:pt>
                <c:pt idx="8">
                  <c:v>Customer Support Specialist</c:v>
                </c:pt>
                <c:pt idx="9">
                  <c:v>Data Analyst</c:v>
                </c:pt>
                <c:pt idx="10">
                  <c:v>Data Science Student</c:v>
                </c:pt>
                <c:pt idx="11">
                  <c:v>Digital Media Student</c:v>
                </c:pt>
                <c:pt idx="12">
                  <c:v>Engineering Student</c:v>
                </c:pt>
                <c:pt idx="13">
                  <c:v>English Literature Student</c:v>
                </c:pt>
                <c:pt idx="14">
                  <c:v>Environmental Science Student</c:v>
                </c:pt>
                <c:pt idx="15">
                  <c:v>Mechanical Engineering Student</c:v>
                </c:pt>
                <c:pt idx="16">
                  <c:v>Research Technician</c:v>
                </c:pt>
                <c:pt idx="17">
                  <c:v>Software Developer</c:v>
                </c:pt>
                <c:pt idx="18">
                  <c:v>Software Engineering Student</c:v>
                </c:pt>
                <c:pt idx="19">
                  <c:v>(blank)</c:v>
                </c:pt>
              </c:strCache>
            </c:strRef>
          </c:cat>
          <c:val>
            <c:numRef>
              <c:f>'EDA PT'!$H$43:$H$63</c:f>
              <c:numCache>
                <c:formatCode>General</c:formatCode>
                <c:ptCount val="20"/>
                <c:pt idx="0">
                  <c:v>23.7</c:v>
                </c:pt>
                <c:pt idx="1">
                  <c:v>10.4</c:v>
                </c:pt>
                <c:pt idx="2">
                  <c:v>37.099999999999994</c:v>
                </c:pt>
                <c:pt idx="3">
                  <c:v>20.099999999999998</c:v>
                </c:pt>
                <c:pt idx="4">
                  <c:v>46</c:v>
                </c:pt>
                <c:pt idx="5">
                  <c:v>13.3</c:v>
                </c:pt>
                <c:pt idx="6">
                  <c:v>27.5</c:v>
                </c:pt>
                <c:pt idx="7">
                  <c:v>13.100000000000001</c:v>
                </c:pt>
                <c:pt idx="8">
                  <c:v>21.2</c:v>
                </c:pt>
                <c:pt idx="9">
                  <c:v>11.2</c:v>
                </c:pt>
                <c:pt idx="10">
                  <c:v>24.9</c:v>
                </c:pt>
                <c:pt idx="11">
                  <c:v>13.100000000000001</c:v>
                </c:pt>
                <c:pt idx="12">
                  <c:v>11.3</c:v>
                </c:pt>
                <c:pt idx="13">
                  <c:v>85.2</c:v>
                </c:pt>
                <c:pt idx="14">
                  <c:v>19.2</c:v>
                </c:pt>
                <c:pt idx="15">
                  <c:v>25.499999999999996</c:v>
                </c:pt>
                <c:pt idx="16">
                  <c:v>25.7</c:v>
                </c:pt>
                <c:pt idx="17">
                  <c:v>14.399999999999999</c:v>
                </c:pt>
                <c:pt idx="18">
                  <c:v>19.5</c:v>
                </c:pt>
                <c:pt idx="19">
                  <c:v>39.6</c:v>
                </c:pt>
              </c:numCache>
            </c:numRef>
          </c:val>
          <c:extLst>
            <c:ext xmlns:c16="http://schemas.microsoft.com/office/drawing/2014/chart" uri="{C3380CC4-5D6E-409C-BE32-E72D297353CC}">
              <c16:uniqueId val="{00000000-A587-450A-81A2-88C624698997}"/>
            </c:ext>
          </c:extLst>
        </c:ser>
        <c:dLbls>
          <c:showLegendKey val="0"/>
          <c:showVal val="0"/>
          <c:showCatName val="0"/>
          <c:showSerName val="0"/>
          <c:showPercent val="0"/>
          <c:showBubbleSize val="0"/>
        </c:dLbls>
        <c:gapWidth val="182"/>
        <c:axId val="363257327"/>
        <c:axId val="365435151"/>
      </c:barChart>
      <c:catAx>
        <c:axId val="363257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365435151"/>
        <c:crosses val="autoZero"/>
        <c:auto val="1"/>
        <c:lblAlgn val="ctr"/>
        <c:lblOffset val="100"/>
        <c:noMultiLvlLbl val="0"/>
      </c:catAx>
      <c:valAx>
        <c:axId val="3654351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363257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[AI_Usage_and_Impact_on_Students_and_Professionals.xlsx]EDA PT!PivotTable19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'EDA PT'!$K$42</c:f>
              <c:strCache>
                <c:ptCount val="1"/>
                <c:pt idx="0">
                  <c:v>Total</c:v>
                </c:pt>
              </c:strCache>
            </c:strRef>
          </c:tx>
          <c:spPr>
            <a:solidFill>
              <a:schemeClr val="accent1"/>
            </a:solidFill>
            <a:ln>
              <a:noFill/>
            </a:ln>
            <a:effectLst/>
          </c:spPr>
          <c:invertIfNegative val="0"/>
          <c:cat>
            <c:strRef>
              <c:f>'EDA PT'!$J$43:$J$56</c:f>
              <c:strCache>
                <c:ptCount val="13"/>
                <c:pt idx="0">
                  <c:v>Australia</c:v>
                </c:pt>
                <c:pt idx="1">
                  <c:v>Brazil</c:v>
                </c:pt>
                <c:pt idx="2">
                  <c:v>Canada</c:v>
                </c:pt>
                <c:pt idx="3">
                  <c:v>France</c:v>
                </c:pt>
                <c:pt idx="4">
                  <c:v>Germany</c:v>
                </c:pt>
                <c:pt idx="5">
                  <c:v>India</c:v>
                </c:pt>
                <c:pt idx="6">
                  <c:v>Kenya</c:v>
                </c:pt>
                <c:pt idx="7">
                  <c:v>Nigeria</c:v>
                </c:pt>
                <c:pt idx="8">
                  <c:v>Pakistan</c:v>
                </c:pt>
                <c:pt idx="9">
                  <c:v>Philippines</c:v>
                </c:pt>
                <c:pt idx="10">
                  <c:v>United Kingdom</c:v>
                </c:pt>
                <c:pt idx="11">
                  <c:v>United States</c:v>
                </c:pt>
              </c:strCache>
            </c:strRef>
          </c:cat>
          <c:val>
            <c:numRef>
              <c:f>'EDA PT'!$K$43:$K$56</c:f>
              <c:numCache>
                <c:formatCode>General</c:formatCode>
                <c:ptCount val="13"/>
                <c:pt idx="0">
                  <c:v>62.400000000000006</c:v>
                </c:pt>
                <c:pt idx="1">
                  <c:v>50.8</c:v>
                </c:pt>
                <c:pt idx="2">
                  <c:v>112.70000000000003</c:v>
                </c:pt>
                <c:pt idx="3">
                  <c:v>29</c:v>
                </c:pt>
                <c:pt idx="4">
                  <c:v>28.099999999999998</c:v>
                </c:pt>
                <c:pt idx="5">
                  <c:v>109.4</c:v>
                </c:pt>
                <c:pt idx="6">
                  <c:v>30.200000000000003</c:v>
                </c:pt>
                <c:pt idx="7">
                  <c:v>67.5</c:v>
                </c:pt>
                <c:pt idx="8">
                  <c:v>91.499999999999972</c:v>
                </c:pt>
                <c:pt idx="9">
                  <c:v>62.999999999999986</c:v>
                </c:pt>
                <c:pt idx="10">
                  <c:v>54.4</c:v>
                </c:pt>
                <c:pt idx="11">
                  <c:v>103.39999999999999</c:v>
                </c:pt>
                <c:pt idx="12">
                  <c:v>24.200000000000003</c:v>
                </c:pt>
              </c:numCache>
            </c:numRef>
          </c:val>
          <c:extLst>
            <c:ext xmlns:c16="http://schemas.microsoft.com/office/drawing/2014/chart" uri="{C3380CC4-5D6E-409C-BE32-E72D297353CC}">
              <c16:uniqueId val="{00000000-3FB6-4958-8C33-41E226477BD9}"/>
            </c:ext>
          </c:extLst>
        </c:ser>
        <c:dLbls>
          <c:showLegendKey val="0"/>
          <c:showVal val="0"/>
          <c:showCatName val="0"/>
          <c:showSerName val="0"/>
          <c:showPercent val="0"/>
          <c:showBubbleSize val="0"/>
        </c:dLbls>
        <c:gapWidth val="150"/>
        <c:overlap val="100"/>
        <c:axId val="487708351"/>
        <c:axId val="365466831"/>
      </c:barChart>
      <c:catAx>
        <c:axId val="487708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365466831"/>
        <c:crosses val="autoZero"/>
        <c:auto val="1"/>
        <c:lblAlgn val="ctr"/>
        <c:lblOffset val="100"/>
        <c:noMultiLvlLbl val="0"/>
      </c:catAx>
      <c:valAx>
        <c:axId val="365466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48770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[AI_Usage_and_Impact_on_Students_and_Professionals.xlsx]EDA PT!PivotTable20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'EDA PT'!$N$42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'EDA PT'!$M$43:$M$47</c:f>
              <c:strCache>
                <c:ptCount val="4"/>
                <c:pt idx="0">
                  <c:v>Coding</c:v>
                </c:pt>
                <c:pt idx="1">
                  <c:v>Research</c:v>
                </c:pt>
                <c:pt idx="2">
                  <c:v>Studying</c:v>
                </c:pt>
                <c:pt idx="3">
                  <c:v>Writing</c:v>
                </c:pt>
              </c:strCache>
            </c:strRef>
          </c:cat>
          <c:val>
            <c:numRef>
              <c:f>'EDA PT'!$N$43:$N$47</c:f>
              <c:numCache>
                <c:formatCode>General</c:formatCode>
                <c:ptCount val="4"/>
                <c:pt idx="0">
                  <c:v>167.00000000000003</c:v>
                </c:pt>
                <c:pt idx="1">
                  <c:v>138.69999999999999</c:v>
                </c:pt>
                <c:pt idx="2">
                  <c:v>102.00000000000003</c:v>
                </c:pt>
                <c:pt idx="3">
                  <c:v>154.80000000000001</c:v>
                </c:pt>
              </c:numCache>
            </c:numRef>
          </c:val>
          <c:extLst>
            <c:ext xmlns:c16="http://schemas.microsoft.com/office/drawing/2014/chart" uri="{C3380CC4-5D6E-409C-BE32-E72D297353CC}">
              <c16:uniqueId val="{00000000-ECB0-4BF9-B60B-FD56DF28B70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[AI_Usage_and_Impact_on_Students_and_Professionals.xlsx]EDA PT!PivotTable22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User</a:t>
            </a:r>
            <a:r>
              <a:rPr lang="en-US" baseline="0"/>
              <a:t> Type Vs Avg Productivity Score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PT'!$C$91</c:f>
              <c:strCache>
                <c:ptCount val="1"/>
                <c:pt idx="0">
                  <c:v>Total</c:v>
                </c:pt>
              </c:strCache>
            </c:strRef>
          </c:tx>
          <c:spPr>
            <a:solidFill>
              <a:schemeClr val="accent1"/>
            </a:solidFill>
            <a:ln>
              <a:noFill/>
            </a:ln>
            <a:effectLst/>
          </c:spPr>
          <c:invertIfNegative val="0"/>
          <c:cat>
            <c:strRef>
              <c:f>'EDA PT'!$B$92:$B$94</c:f>
              <c:strCache>
                <c:ptCount val="2"/>
                <c:pt idx="0">
                  <c:v>Professional</c:v>
                </c:pt>
                <c:pt idx="1">
                  <c:v>Student</c:v>
                </c:pt>
              </c:strCache>
            </c:strRef>
          </c:cat>
          <c:val>
            <c:numRef>
              <c:f>'EDA PT'!$C$92:$C$94</c:f>
              <c:numCache>
                <c:formatCode>0.00</c:formatCode>
                <c:ptCount val="2"/>
                <c:pt idx="0">
                  <c:v>5.2816793893129752</c:v>
                </c:pt>
                <c:pt idx="1">
                  <c:v>5.1923076923076916</c:v>
                </c:pt>
              </c:numCache>
            </c:numRef>
          </c:val>
          <c:extLst>
            <c:ext xmlns:c16="http://schemas.microsoft.com/office/drawing/2014/chart" uri="{C3380CC4-5D6E-409C-BE32-E72D297353CC}">
              <c16:uniqueId val="{00000000-8D50-4D2F-A99B-4B5FE58AA2B7}"/>
            </c:ext>
          </c:extLst>
        </c:ser>
        <c:dLbls>
          <c:showLegendKey val="0"/>
          <c:showVal val="0"/>
          <c:showCatName val="0"/>
          <c:showSerName val="0"/>
          <c:showPercent val="0"/>
          <c:showBubbleSize val="0"/>
        </c:dLbls>
        <c:gapWidth val="219"/>
        <c:overlap val="-27"/>
        <c:axId val="443214399"/>
        <c:axId val="365485551"/>
      </c:barChart>
      <c:catAx>
        <c:axId val="44321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365485551"/>
        <c:crosses val="autoZero"/>
        <c:auto val="1"/>
        <c:lblAlgn val="ctr"/>
        <c:lblOffset val="100"/>
        <c:noMultiLvlLbl val="0"/>
      </c:catAx>
      <c:valAx>
        <c:axId val="36548555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443214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[AI_Usage_and_Impact_on_Students_and_Professionals.xlsx]EDA PT!PivotTable23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AI</a:t>
            </a:r>
            <a:r>
              <a:rPr lang="en-US" baseline="0"/>
              <a:t> tools vs Avg Productivity Score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'EDA PT'!$F$91</c:f>
              <c:strCache>
                <c:ptCount val="1"/>
                <c:pt idx="0">
                  <c:v>Total</c:v>
                </c:pt>
              </c:strCache>
            </c:strRef>
          </c:tx>
          <c:spPr>
            <a:solidFill>
              <a:schemeClr val="accent1"/>
            </a:solidFill>
            <a:ln>
              <a:noFill/>
            </a:ln>
            <a:effectLst/>
          </c:spPr>
          <c:invertIfNegative val="0"/>
          <c:cat>
            <c:strRef>
              <c:f>'EDA PT'!$E$92:$E$101</c:f>
              <c:strCache>
                <c:ptCount val="9"/>
                <c:pt idx="0">
                  <c:v>Chat GPT</c:v>
                </c:pt>
                <c:pt idx="1">
                  <c:v>Claude</c:v>
                </c:pt>
                <c:pt idx="2">
                  <c:v>Copilot</c:v>
                </c:pt>
                <c:pt idx="3">
                  <c:v>DeepSeek</c:v>
                </c:pt>
                <c:pt idx="4">
                  <c:v>Gemini</c:v>
                </c:pt>
                <c:pt idx="5">
                  <c:v>Grammarly</c:v>
                </c:pt>
                <c:pt idx="6">
                  <c:v>Meta AI</c:v>
                </c:pt>
                <c:pt idx="7">
                  <c:v>Perplexity AI</c:v>
                </c:pt>
                <c:pt idx="8">
                  <c:v>(blank)</c:v>
                </c:pt>
              </c:strCache>
            </c:strRef>
          </c:cat>
          <c:val>
            <c:numRef>
              <c:f>'EDA PT'!$F$92:$F$101</c:f>
              <c:numCache>
                <c:formatCode>0.00</c:formatCode>
                <c:ptCount val="9"/>
                <c:pt idx="0">
                  <c:v>5.2318584070796463</c:v>
                </c:pt>
                <c:pt idx="1">
                  <c:v>5.2931034482758621</c:v>
                </c:pt>
                <c:pt idx="2">
                  <c:v>5.5129032258064523</c:v>
                </c:pt>
                <c:pt idx="3">
                  <c:v>5.5333333333333332</c:v>
                </c:pt>
                <c:pt idx="4">
                  <c:v>5.060526315789474</c:v>
                </c:pt>
                <c:pt idx="5">
                  <c:v>5.1142857142857139</c:v>
                </c:pt>
                <c:pt idx="6">
                  <c:v>5.1499999999999995</c:v>
                </c:pt>
                <c:pt idx="7">
                  <c:v>4.6400000000000006</c:v>
                </c:pt>
                <c:pt idx="8">
                  <c:v>6.08</c:v>
                </c:pt>
              </c:numCache>
            </c:numRef>
          </c:val>
          <c:extLst>
            <c:ext xmlns:c16="http://schemas.microsoft.com/office/drawing/2014/chart" uri="{C3380CC4-5D6E-409C-BE32-E72D297353CC}">
              <c16:uniqueId val="{00000000-1CA5-46F2-87BB-26954B811627}"/>
            </c:ext>
          </c:extLst>
        </c:ser>
        <c:dLbls>
          <c:showLegendKey val="0"/>
          <c:showVal val="0"/>
          <c:showCatName val="0"/>
          <c:showSerName val="0"/>
          <c:showPercent val="0"/>
          <c:showBubbleSize val="0"/>
        </c:dLbls>
        <c:gapWidth val="150"/>
        <c:overlap val="100"/>
        <c:axId val="438857647"/>
        <c:axId val="365472591"/>
      </c:barChart>
      <c:catAx>
        <c:axId val="43885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365472591"/>
        <c:crosses val="autoZero"/>
        <c:auto val="1"/>
        <c:lblAlgn val="ctr"/>
        <c:lblOffset val="100"/>
        <c:noMultiLvlLbl val="0"/>
      </c:catAx>
      <c:valAx>
        <c:axId val="36547259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43885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[AI_Usage_and_Impact_on_Students_and_Professionals.xlsx]EDA PT!PivotTable24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Profession</a:t>
            </a:r>
            <a:r>
              <a:rPr lang="en-US" baseline="0"/>
              <a:t> vs Productivity scores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693156624932603E-2"/>
          <c:y val="0.23179256606232096"/>
          <c:w val="0.92351537790069249"/>
          <c:h val="0.30147505215619724"/>
        </c:manualLayout>
      </c:layout>
      <c:barChart>
        <c:barDir val="col"/>
        <c:grouping val="stacked"/>
        <c:varyColors val="0"/>
        <c:ser>
          <c:idx val="0"/>
          <c:order val="0"/>
          <c:tx>
            <c:strRef>
              <c:f>'EDA PT'!$I$91</c:f>
              <c:strCache>
                <c:ptCount val="1"/>
                <c:pt idx="0">
                  <c:v>Total</c:v>
                </c:pt>
              </c:strCache>
            </c:strRef>
          </c:tx>
          <c:spPr>
            <a:solidFill>
              <a:schemeClr val="accent1"/>
            </a:solidFill>
            <a:ln>
              <a:noFill/>
            </a:ln>
            <a:effectLst/>
          </c:spPr>
          <c:invertIfNegative val="0"/>
          <c:cat>
            <c:strRef>
              <c:f>'EDA PT'!$H$92:$H$113</c:f>
              <c:strCache>
                <c:ptCount val="21"/>
                <c:pt idx="0">
                  <c:v>Administrative Assistant</c:v>
                </c:pt>
                <c:pt idx="1">
                  <c:v>Biology Student</c:v>
                </c:pt>
                <c:pt idx="2">
                  <c:v>Biomedical Engineering Student</c:v>
                </c:pt>
                <c:pt idx="3">
                  <c:v>Business Administration Student</c:v>
                </c:pt>
                <c:pt idx="4">
                  <c:v>Computer Science Student</c:v>
                </c:pt>
                <c:pt idx="5">
                  <c:v>Content Strategy Manager</c:v>
                </c:pt>
                <c:pt idx="6">
                  <c:v>Content Writer</c:v>
                </c:pt>
                <c:pt idx="7">
                  <c:v>Creative Writing Student</c:v>
                </c:pt>
                <c:pt idx="8">
                  <c:v>Customer Support Specialist</c:v>
                </c:pt>
                <c:pt idx="9">
                  <c:v>Data Analyst</c:v>
                </c:pt>
                <c:pt idx="10">
                  <c:v>Data Science Student</c:v>
                </c:pt>
                <c:pt idx="11">
                  <c:v>Digital Marketing Student</c:v>
                </c:pt>
                <c:pt idx="12">
                  <c:v>English Literature Student</c:v>
                </c:pt>
                <c:pt idx="13">
                  <c:v>Environmental Science Student</c:v>
                </c:pt>
                <c:pt idx="14">
                  <c:v>Information Technology Student</c:v>
                </c:pt>
                <c:pt idx="15">
                  <c:v>Junior Software Developer</c:v>
                </c:pt>
                <c:pt idx="16">
                  <c:v>Mechanical Engineering Student</c:v>
                </c:pt>
                <c:pt idx="17">
                  <c:v>Senior Software Engineer</c:v>
                </c:pt>
                <c:pt idx="18">
                  <c:v>Software Developer</c:v>
                </c:pt>
                <c:pt idx="19">
                  <c:v>Software Engineering Student</c:v>
                </c:pt>
                <c:pt idx="20">
                  <c:v>(blank)</c:v>
                </c:pt>
              </c:strCache>
            </c:strRef>
          </c:cat>
          <c:val>
            <c:numRef>
              <c:f>'EDA PT'!$I$92:$I$113</c:f>
              <c:numCache>
                <c:formatCode>General</c:formatCode>
                <c:ptCount val="21"/>
                <c:pt idx="0">
                  <c:v>29.9</c:v>
                </c:pt>
                <c:pt idx="1">
                  <c:v>59.099999999999987</c:v>
                </c:pt>
                <c:pt idx="2">
                  <c:v>16.3</c:v>
                </c:pt>
                <c:pt idx="3">
                  <c:v>32.6</c:v>
                </c:pt>
                <c:pt idx="4">
                  <c:v>90.1</c:v>
                </c:pt>
                <c:pt idx="5">
                  <c:v>15.1</c:v>
                </c:pt>
                <c:pt idx="6">
                  <c:v>40.799999999999997</c:v>
                </c:pt>
                <c:pt idx="7">
                  <c:v>19.100000000000001</c:v>
                </c:pt>
                <c:pt idx="8">
                  <c:v>28.8</c:v>
                </c:pt>
                <c:pt idx="9">
                  <c:v>18.5</c:v>
                </c:pt>
                <c:pt idx="10">
                  <c:v>40.6</c:v>
                </c:pt>
                <c:pt idx="11">
                  <c:v>19.099999999999998</c:v>
                </c:pt>
                <c:pt idx="12">
                  <c:v>135.20000000000002</c:v>
                </c:pt>
                <c:pt idx="13">
                  <c:v>30.5</c:v>
                </c:pt>
                <c:pt idx="14">
                  <c:v>21.2</c:v>
                </c:pt>
                <c:pt idx="15">
                  <c:v>19.8</c:v>
                </c:pt>
                <c:pt idx="16">
                  <c:v>41.8</c:v>
                </c:pt>
                <c:pt idx="17">
                  <c:v>17.5</c:v>
                </c:pt>
                <c:pt idx="18">
                  <c:v>35.1</c:v>
                </c:pt>
                <c:pt idx="19">
                  <c:v>33.099999999999994</c:v>
                </c:pt>
                <c:pt idx="20">
                  <c:v>58.9</c:v>
                </c:pt>
              </c:numCache>
            </c:numRef>
          </c:val>
          <c:extLst>
            <c:ext xmlns:c16="http://schemas.microsoft.com/office/drawing/2014/chart" uri="{C3380CC4-5D6E-409C-BE32-E72D297353CC}">
              <c16:uniqueId val="{00000000-94AD-4BF4-A40F-0A308065B6D5}"/>
            </c:ext>
          </c:extLst>
        </c:ser>
        <c:dLbls>
          <c:showLegendKey val="0"/>
          <c:showVal val="0"/>
          <c:showCatName val="0"/>
          <c:showSerName val="0"/>
          <c:showPercent val="0"/>
          <c:showBubbleSize val="0"/>
        </c:dLbls>
        <c:gapWidth val="150"/>
        <c:overlap val="100"/>
        <c:axId val="443217183"/>
        <c:axId val="365447631"/>
      </c:barChart>
      <c:catAx>
        <c:axId val="44321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365447631"/>
        <c:crosses val="autoZero"/>
        <c:auto val="1"/>
        <c:lblAlgn val="ctr"/>
        <c:lblOffset val="100"/>
        <c:noMultiLvlLbl val="0"/>
      </c:catAx>
      <c:valAx>
        <c:axId val="365447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443217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Usage</a:t>
            </a:r>
            <a:r>
              <a:rPr lang="en-US" baseline="0"/>
              <a:t> hour vs </a:t>
            </a:r>
            <a:r>
              <a:rPr lang="en-US"/>
              <a:t>Productivity_Score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G"/>
        </a:p>
      </c:txPr>
    </c:title>
    <c:autoTitleDeleted val="0"/>
    <c:plotArea>
      <c:layout>
        <c:manualLayout>
          <c:layoutTarget val="inner"/>
          <c:xMode val="edge"/>
          <c:yMode val="edge"/>
          <c:x val="6.1569026151473027E-2"/>
          <c:y val="0.20118874352022997"/>
          <c:w val="0.90247123991384226"/>
          <c:h val="0.71220656375815183"/>
        </c:manualLayout>
      </c:layout>
      <c:scatterChart>
        <c:scatterStyle val="lineMarker"/>
        <c:varyColors val="0"/>
        <c:ser>
          <c:idx val="0"/>
          <c:order val="0"/>
          <c:tx>
            <c:strRef>
              <c:f>AI_Usage_and_Impact_on_Students!$AL$1</c:f>
              <c:strCache>
                <c:ptCount val="1"/>
                <c:pt idx="0">
                  <c:v>Sum of Productivity_Score</c:v>
                </c:pt>
              </c:strCache>
            </c:strRef>
          </c:tx>
          <c:spPr>
            <a:ln w="38100" cap="rnd">
              <a:noFill/>
              <a:round/>
            </a:ln>
            <a:effectLst/>
          </c:spPr>
          <c:marker>
            <c:symbol val="circle"/>
            <c:size val="5"/>
            <c:spPr>
              <a:solidFill>
                <a:schemeClr val="accent1"/>
              </a:solidFill>
              <a:ln w="9525">
                <a:solidFill>
                  <a:schemeClr val="accent1"/>
                </a:solidFill>
              </a:ln>
              <a:effectLst/>
            </c:spPr>
          </c:marker>
          <c:xVal>
            <c:strRef>
              <c:f>AI_Usage_and_Impact_on_Students!$AK$2:$AK$29</c:f>
              <c:strCache>
                <c:ptCount val="28"/>
                <c:pt idx="0">
                  <c:v>0.6</c:v>
                </c:pt>
                <c:pt idx="1">
                  <c:v>0.7</c:v>
                </c:pt>
                <c:pt idx="2">
                  <c:v>0.9</c:v>
                </c:pt>
                <c:pt idx="3">
                  <c:v>1</c:v>
                </c:pt>
                <c:pt idx="4">
                  <c:v>1.2</c:v>
                </c:pt>
                <c:pt idx="5">
                  <c:v>1.3</c:v>
                </c:pt>
                <c:pt idx="6">
                  <c:v>1.4</c:v>
                </c:pt>
                <c:pt idx="7">
                  <c:v>1.5</c:v>
                </c:pt>
                <c:pt idx="8">
                  <c:v>1.6</c:v>
                </c:pt>
                <c:pt idx="9">
                  <c:v>1.7</c:v>
                </c:pt>
                <c:pt idx="10">
                  <c:v>1.9</c:v>
                </c:pt>
                <c:pt idx="11">
                  <c:v>2</c:v>
                </c:pt>
                <c:pt idx="12">
                  <c:v>2.2</c:v>
                </c:pt>
                <c:pt idx="13">
                  <c:v>2.3</c:v>
                </c:pt>
                <c:pt idx="14">
                  <c:v>2.8</c:v>
                </c:pt>
                <c:pt idx="15">
                  <c:v>2.9</c:v>
                </c:pt>
                <c:pt idx="16">
                  <c:v>3.3</c:v>
                </c:pt>
                <c:pt idx="17">
                  <c:v>3.4</c:v>
                </c:pt>
                <c:pt idx="18">
                  <c:v>3.7</c:v>
                </c:pt>
                <c:pt idx="19">
                  <c:v>3.9</c:v>
                </c:pt>
                <c:pt idx="20">
                  <c:v>4.1</c:v>
                </c:pt>
                <c:pt idx="21">
                  <c:v>4.4</c:v>
                </c:pt>
                <c:pt idx="22">
                  <c:v>4.9</c:v>
                </c:pt>
                <c:pt idx="23">
                  <c:v>5</c:v>
                </c:pt>
                <c:pt idx="24">
                  <c:v>5.4</c:v>
                </c:pt>
                <c:pt idx="25">
                  <c:v>5.5</c:v>
                </c:pt>
                <c:pt idx="26">
                  <c:v>5.7</c:v>
                </c:pt>
                <c:pt idx="27">
                  <c:v>(blank)</c:v>
                </c:pt>
              </c:strCache>
            </c:strRef>
          </c:xVal>
          <c:yVal>
            <c:numRef>
              <c:f>AI_Usage_and_Impact_on_Students!$AL$2:$AL$29</c:f>
              <c:numCache>
                <c:formatCode>General</c:formatCode>
                <c:ptCount val="28"/>
                <c:pt idx="0">
                  <c:v>39.1</c:v>
                </c:pt>
                <c:pt idx="1">
                  <c:v>48.199999999999996</c:v>
                </c:pt>
                <c:pt idx="2">
                  <c:v>31.399999999999991</c:v>
                </c:pt>
                <c:pt idx="3">
                  <c:v>22.400000000000002</c:v>
                </c:pt>
                <c:pt idx="4">
                  <c:v>36.9</c:v>
                </c:pt>
                <c:pt idx="5">
                  <c:v>34.1</c:v>
                </c:pt>
                <c:pt idx="6">
                  <c:v>23.599999999999998</c:v>
                </c:pt>
                <c:pt idx="7">
                  <c:v>49.5</c:v>
                </c:pt>
                <c:pt idx="8">
                  <c:v>51.800000000000004</c:v>
                </c:pt>
                <c:pt idx="9">
                  <c:v>56.3</c:v>
                </c:pt>
                <c:pt idx="10">
                  <c:v>46.5</c:v>
                </c:pt>
                <c:pt idx="11">
                  <c:v>40.900000000000006</c:v>
                </c:pt>
                <c:pt idx="12">
                  <c:v>25.6</c:v>
                </c:pt>
                <c:pt idx="13">
                  <c:v>28.299999999999997</c:v>
                </c:pt>
                <c:pt idx="14">
                  <c:v>30.299999999999997</c:v>
                </c:pt>
                <c:pt idx="15">
                  <c:v>26.200000000000003</c:v>
                </c:pt>
                <c:pt idx="16">
                  <c:v>26.7</c:v>
                </c:pt>
                <c:pt idx="17">
                  <c:v>33.400000000000006</c:v>
                </c:pt>
                <c:pt idx="18">
                  <c:v>25.9</c:v>
                </c:pt>
                <c:pt idx="19">
                  <c:v>34.1</c:v>
                </c:pt>
                <c:pt idx="20">
                  <c:v>29.099999999999998</c:v>
                </c:pt>
                <c:pt idx="21">
                  <c:v>27</c:v>
                </c:pt>
                <c:pt idx="22">
                  <c:v>31.000000000000004</c:v>
                </c:pt>
                <c:pt idx="23">
                  <c:v>27.5</c:v>
                </c:pt>
                <c:pt idx="24">
                  <c:v>24.6</c:v>
                </c:pt>
                <c:pt idx="25">
                  <c:v>23.7</c:v>
                </c:pt>
                <c:pt idx="26">
                  <c:v>22.5</c:v>
                </c:pt>
                <c:pt idx="27">
                  <c:v>39.599999999999994</c:v>
                </c:pt>
              </c:numCache>
            </c:numRef>
          </c:yVal>
          <c:smooth val="0"/>
          <c:extLst>
            <c:ext xmlns:c16="http://schemas.microsoft.com/office/drawing/2014/chart" uri="{C3380CC4-5D6E-409C-BE32-E72D297353CC}">
              <c16:uniqueId val="{00000000-783A-453E-9149-3AA5C5445D4B}"/>
            </c:ext>
          </c:extLst>
        </c:ser>
        <c:dLbls>
          <c:showLegendKey val="0"/>
          <c:showVal val="0"/>
          <c:showCatName val="0"/>
          <c:showSerName val="0"/>
          <c:showPercent val="0"/>
          <c:showBubbleSize val="0"/>
        </c:dLbls>
        <c:axId val="363256399"/>
        <c:axId val="365479791"/>
      </c:scatterChart>
      <c:valAx>
        <c:axId val="363256399"/>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365479791"/>
        <c:crosses val="autoZero"/>
        <c:crossBetween val="midCat"/>
      </c:valAx>
      <c:valAx>
        <c:axId val="365479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3632563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[AI_Usage_and_Impact_on_Students_and_Professionals.xlsx]EDA PT!PivotTable27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User</a:t>
            </a:r>
            <a:r>
              <a:rPr lang="en-US" baseline="0"/>
              <a:t> type vs Time saved hrs/wk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'EDA PT'!$C$135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 PT'!$B$136:$B$138</c:f>
              <c:strCache>
                <c:ptCount val="2"/>
                <c:pt idx="0">
                  <c:v>Professional</c:v>
                </c:pt>
                <c:pt idx="1">
                  <c:v>Student</c:v>
                </c:pt>
              </c:strCache>
            </c:strRef>
          </c:cat>
          <c:val>
            <c:numRef>
              <c:f>'EDA PT'!$C$136:$C$138</c:f>
              <c:numCache>
                <c:formatCode>General</c:formatCode>
                <c:ptCount val="2"/>
                <c:pt idx="0">
                  <c:v>722</c:v>
                </c:pt>
                <c:pt idx="1">
                  <c:v>893.19999999999993</c:v>
                </c:pt>
              </c:numCache>
            </c:numRef>
          </c:val>
          <c:extLst>
            <c:ext xmlns:c16="http://schemas.microsoft.com/office/drawing/2014/chart" uri="{C3380CC4-5D6E-409C-BE32-E72D297353CC}">
              <c16:uniqueId val="{00000000-3EB0-4775-AE20-F970E288066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[AI_Usage_and_Impact_on_Students_and_Professionals.xlsx]EDA PT!PivotTable28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AI</a:t>
            </a:r>
            <a:r>
              <a:rPr lang="en-US" baseline="0"/>
              <a:t> tool vs Time saved hrs/wk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'EDA PT'!$F$135</c:f>
              <c:strCache>
                <c:ptCount val="1"/>
                <c:pt idx="0">
                  <c:v>Total</c:v>
                </c:pt>
              </c:strCache>
            </c:strRef>
          </c:tx>
          <c:spPr>
            <a:solidFill>
              <a:schemeClr val="accent1"/>
            </a:solidFill>
            <a:ln>
              <a:noFill/>
            </a:ln>
            <a:effectLst/>
          </c:spPr>
          <c:invertIfNegative val="0"/>
          <c:cat>
            <c:strRef>
              <c:f>'EDA PT'!$E$136:$E$145</c:f>
              <c:strCache>
                <c:ptCount val="9"/>
                <c:pt idx="0">
                  <c:v>Chat GPT</c:v>
                </c:pt>
                <c:pt idx="1">
                  <c:v>Claude</c:v>
                </c:pt>
                <c:pt idx="2">
                  <c:v>Copilot</c:v>
                </c:pt>
                <c:pt idx="3">
                  <c:v>DeepSeek</c:v>
                </c:pt>
                <c:pt idx="4">
                  <c:v>Gemini</c:v>
                </c:pt>
                <c:pt idx="5">
                  <c:v>Grammarly</c:v>
                </c:pt>
                <c:pt idx="6">
                  <c:v>Meta AI</c:v>
                </c:pt>
                <c:pt idx="7">
                  <c:v>Perplexity AI</c:v>
                </c:pt>
                <c:pt idx="8">
                  <c:v>(blank)</c:v>
                </c:pt>
              </c:strCache>
            </c:strRef>
          </c:cat>
          <c:val>
            <c:numRef>
              <c:f>'EDA PT'!$F$136:$F$145</c:f>
              <c:numCache>
                <c:formatCode>General</c:formatCode>
                <c:ptCount val="9"/>
                <c:pt idx="0">
                  <c:v>690</c:v>
                </c:pt>
                <c:pt idx="1">
                  <c:v>162.79999999999998</c:v>
                </c:pt>
                <c:pt idx="2">
                  <c:v>210.40000000000003</c:v>
                </c:pt>
                <c:pt idx="3">
                  <c:v>45.9</c:v>
                </c:pt>
                <c:pt idx="4">
                  <c:v>204.99999999999994</c:v>
                </c:pt>
                <c:pt idx="5">
                  <c:v>76.800000000000011</c:v>
                </c:pt>
                <c:pt idx="6">
                  <c:v>47.9</c:v>
                </c:pt>
                <c:pt idx="7">
                  <c:v>124</c:v>
                </c:pt>
                <c:pt idx="8">
                  <c:v>52.4</c:v>
                </c:pt>
              </c:numCache>
            </c:numRef>
          </c:val>
          <c:extLst>
            <c:ext xmlns:c16="http://schemas.microsoft.com/office/drawing/2014/chart" uri="{C3380CC4-5D6E-409C-BE32-E72D297353CC}">
              <c16:uniqueId val="{00000000-8C57-40FB-A811-60581B7EA0EC}"/>
            </c:ext>
          </c:extLst>
        </c:ser>
        <c:dLbls>
          <c:showLegendKey val="0"/>
          <c:showVal val="0"/>
          <c:showCatName val="0"/>
          <c:showSerName val="0"/>
          <c:showPercent val="0"/>
          <c:showBubbleSize val="0"/>
        </c:dLbls>
        <c:gapWidth val="150"/>
        <c:overlap val="100"/>
        <c:axId val="547373551"/>
        <c:axId val="365451951"/>
      </c:barChart>
      <c:catAx>
        <c:axId val="547373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365451951"/>
        <c:crosses val="autoZero"/>
        <c:auto val="1"/>
        <c:lblAlgn val="ctr"/>
        <c:lblOffset val="100"/>
        <c:noMultiLvlLbl val="0"/>
      </c:catAx>
      <c:valAx>
        <c:axId val="365451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547373551"/>
        <c:crosses val="autoZero"/>
        <c:crossBetween val="between"/>
        <c:majorUnit val="5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[AI_Usage_and_Impact_on_Students_and_Professionals.xlsx]EDA PT!PivotTable29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Profession</a:t>
            </a:r>
            <a:r>
              <a:rPr lang="en-US" baseline="0"/>
              <a:t> vs Avg Time saved hrs/wk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'EDA PT'!$I$135</c:f>
              <c:strCache>
                <c:ptCount val="1"/>
                <c:pt idx="0">
                  <c:v>Total</c:v>
                </c:pt>
              </c:strCache>
            </c:strRef>
          </c:tx>
          <c:spPr>
            <a:solidFill>
              <a:schemeClr val="accent1"/>
            </a:solidFill>
            <a:ln>
              <a:noFill/>
            </a:ln>
            <a:effectLst/>
          </c:spPr>
          <c:invertIfNegative val="0"/>
          <c:cat>
            <c:strRef>
              <c:f>'EDA PT'!$H$136:$H$263</c:f>
              <c:strCache>
                <c:ptCount val="127"/>
                <c:pt idx="0">
                  <c:v>Academic Research Professor and Technical Writer</c:v>
                </c:pt>
                <c:pt idx="1">
                  <c:v>Administrative Assistant</c:v>
                </c:pt>
                <c:pt idx="2">
                  <c:v>Administrative Executive</c:v>
                </c:pt>
                <c:pt idx="3">
                  <c:v>AI Content Strategist</c:v>
                </c:pt>
                <c:pt idx="4">
                  <c:v>AI Customer Success Manager</c:v>
                </c:pt>
                <c:pt idx="5">
                  <c:v>AI Customer Support Specialist</c:v>
                </c:pt>
                <c:pt idx="6">
                  <c:v>AI-Powered Customer Support Executive</c:v>
                </c:pt>
                <c:pt idx="7">
                  <c:v>Analista de Dados</c:v>
                </c:pt>
                <c:pt idx="8">
                  <c:v>Analista de Dados S��nior</c:v>
                </c:pt>
                <c:pt idx="9">
                  <c:v>Analyste de Donn��es / Data Analyst</c:v>
                </c:pt>
                <c:pt idx="10">
                  <c:v>Artificial Intelligence &amp; Digital Media Student</c:v>
                </c:pt>
                <c:pt idx="11">
                  <c:v>Artificial Intelligence and Machine Learning Student</c:v>
                </c:pt>
                <c:pt idx="12">
                  <c:v>Artificial Intelligence Research Student</c:v>
                </c:pt>
                <c:pt idx="13">
                  <c:v>Assistente Administrativo</c:v>
                </c:pt>
                <c:pt idx="14">
                  <c:v>Bioinformatics Student</c:v>
                </c:pt>
                <c:pt idx="15">
                  <c:v>Biology Student</c:v>
                </c:pt>
                <c:pt idx="16">
                  <c:v>Biomedical Engineering Student</c:v>
                </c:pt>
                <c:pt idx="17">
                  <c:v>Biomedical Science Student</c:v>
                </c:pt>
                <c:pt idx="18">
                  <c:v>Biotechnology PhD Student</c:v>
                </c:pt>
                <c:pt idx="19">
                  <c:v>Biotechnology Student</c:v>
                </c:pt>
                <c:pt idx="20">
                  <c:v>Business Administration Student</c:v>
                </c:pt>
                <c:pt idx="21">
                  <c:v>Business Analyst</c:v>
                </c:pt>
                <c:pt idx="22">
                  <c:v>Business Analytics Student</c:v>
                </c:pt>
                <c:pt idx="23">
                  <c:v>Business Intelligence Analyst</c:v>
                </c:pt>
                <c:pt idx="24">
                  <c:v>Computer Science PhD Student</c:v>
                </c:pt>
                <c:pt idx="25">
                  <c:v>Computer Science Student</c:v>
                </c:pt>
                <c:pt idx="26">
                  <c:v>Content Creator/Gestor de Conte��do Digital</c:v>
                </c:pt>
                <c:pt idx="27">
                  <c:v>Content Manager</c:v>
                </c:pt>
                <c:pt idx="28">
                  <c:v>Content Marketing Manager</c:v>
                </c:pt>
                <c:pt idx="29">
                  <c:v>Content Strategist</c:v>
                </c:pt>
                <c:pt idx="30">
                  <c:v>Content Strategist &amp; Technical Writer</c:v>
                </c:pt>
                <c:pt idx="31">
                  <c:v>Content Strategy Manager</c:v>
                </c:pt>
                <c:pt idx="32">
                  <c:v>Content Writer</c:v>
                </c:pt>
                <c:pt idx="33">
                  <c:v>Creative Writing Student</c:v>
                </c:pt>
                <c:pt idx="34">
                  <c:v>Customer Experience Manager</c:v>
                </c:pt>
                <c:pt idx="35">
                  <c:v>Customer Service Executive</c:v>
                </c:pt>
                <c:pt idx="36">
                  <c:v>Customer Service Representative</c:v>
                </c:pt>
                <c:pt idx="37">
                  <c:v>Customer Support Executive</c:v>
                </c:pt>
                <c:pt idx="38">
                  <c:v>Customer Support Manager</c:v>
                </c:pt>
                <c:pt idx="39">
                  <c:v>Customer Support Specialist</c:v>
                </c:pt>
                <c:pt idx="40">
                  <c:v>Customer Support Specialist / AI Support Operations Manager</c:v>
                </c:pt>
                <c:pt idx="41">
                  <c:v>Data Analyst</c:v>
                </c:pt>
                <c:pt idx="42">
                  <c:v>Data Analyst / Business Intelligence Specialist</c:v>
                </c:pt>
                <c:pt idx="43">
                  <c:v>Data Analytics Manager</c:v>
                </c:pt>
                <c:pt idx="44">
                  <c:v>Data Entry Operator</c:v>
                </c:pt>
                <c:pt idx="45">
                  <c:v>Data Entry Specialist</c:v>
                </c:pt>
                <c:pt idx="46">
                  <c:v>Data Science Student</c:v>
                </c:pt>
                <c:pt idx="47">
                  <c:v>Datenanalyst</c:v>
                </c:pt>
                <c:pt idx="48">
                  <c:v>Desenvolvedor de Sistemas (Systems Developer)</c:v>
                </c:pt>
                <c:pt idx="49">
                  <c:v>Desenvolvedor de Sistemas Junior</c:v>
                </c:pt>
                <c:pt idx="50">
                  <c:v>Desenvolvedor de Software S��nior</c:v>
                </c:pt>
                <c:pt idx="51">
                  <c:v>Desenvolvedora de Sistemas J��nior</c:v>
                </c:pt>
                <c:pt idx="52">
                  <c:v>Desenvolvedora de Software</c:v>
                </c:pt>
                <c:pt idx="53">
                  <c:v>Desenvolvedora de Software / Software Developer</c:v>
                </c:pt>
                <c:pt idx="54">
                  <c:v>Digital Content Creator</c:v>
                </c:pt>
                <c:pt idx="55">
                  <c:v>Digital Content Creator / Social Media Manager</c:v>
                </c:pt>
                <c:pt idx="56">
                  <c:v>Digital Content Strategist</c:v>
                </c:pt>
                <c:pt idx="57">
                  <c:v>Digital Content Writer</c:v>
                </c:pt>
                <c:pt idx="58">
                  <c:v>Digital Marketing Manager</c:v>
                </c:pt>
                <c:pt idx="59">
                  <c:v>Digital Marketing Student</c:v>
                </c:pt>
                <c:pt idx="60">
                  <c:v>Digital Media &amp; Film Production Student</c:v>
                </c:pt>
                <c:pt idx="61">
                  <c:v>Digital Media and Communications Student</c:v>
                </c:pt>
                <c:pt idx="62">
                  <c:v>Digital Media Production Student</c:v>
                </c:pt>
                <c:pt idx="63">
                  <c:v>Digital Media Student</c:v>
                </c:pt>
                <c:pt idx="64">
                  <c:v>D��veloppeur Full Stack</c:v>
                </c:pt>
                <c:pt idx="65">
                  <c:v>D��veloppeur Full Stack Junior</c:v>
                </c:pt>
                <c:pt idx="66">
                  <c:v>D��veloppeur Logiciel (Software Developer)</c:v>
                </c:pt>
                <c:pt idx="67">
                  <c:v>Electronics and Communication Engineering Student</c:v>
                </c:pt>
                <c:pt idx="68">
                  <c:v>Electronics Engineering Student</c:v>
                </c:pt>
                <c:pt idx="69">
                  <c:v>Engenheiro de Software S��nior / Tech Lead</c:v>
                </c:pt>
                <c:pt idx="70">
                  <c:v>Engineering Student</c:v>
                </c:pt>
                <c:pt idx="71">
                  <c:v>English Literature Student</c:v>
                </c:pt>
                <c:pt idx="72">
                  <c:v>Environmental Science Student</c:v>
                </c:pt>
                <c:pt idx="73">
                  <c:v>Especialista em Atendimento ao Cliente com IA</c:v>
                </c:pt>
                <c:pt idx="74">
                  <c:v>Gerente de Atendimento ao Cliente</c:v>
                </c:pt>
                <c:pt idx="75">
                  <c:v>German Literature and Comparative Studies Student</c:v>
                </c:pt>
                <c:pt idx="76">
                  <c:v>German Literature Student</c:v>
                </c:pt>
                <c:pt idx="77">
                  <c:v>History Student</c:v>
                </c:pt>
                <c:pt idx="78">
                  <c:v>Information Technology Student</c:v>
                </c:pt>
                <c:pt idx="79">
                  <c:v>Junior Software Developer</c:v>
                </c:pt>
                <c:pt idx="80">
                  <c:v>Junior Web Developer</c:v>
                </c:pt>
                <c:pt idx="81">
                  <c:v>Kundenbetreuerin mit KI-Unterst��tzung</c:v>
                </c:pt>
                <c:pt idx="82">
                  <c:v>Kundenservice-Spezialistin / Customer Service Specialist</c:v>
                </c:pt>
                <c:pt idx="83">
                  <c:v>Literature Student</c:v>
                </c:pt>
                <c:pt idx="84">
                  <c:v>Machine Learning Research Student</c:v>
                </c:pt>
                <c:pt idx="85">
                  <c:v>Machine Learning Student</c:v>
                </c:pt>
                <c:pt idx="86">
                  <c:v>Marketing Communications Officer</c:v>
                </c:pt>
                <c:pt idx="87">
                  <c:v>Mathematics Student</c:v>
                </c:pt>
                <c:pt idx="88">
                  <c:v>Mechanical Engineering Student</c:v>
                </c:pt>
                <c:pt idx="89">
                  <c:v>Molecular Biology Student</c:v>
                </c:pt>
                <c:pt idx="90">
                  <c:v>Multimedia Content Producer</c:v>
                </c:pt>
                <c:pt idx="91">
                  <c:v>Pesquisador de Mercado</c:v>
                </c:pt>
                <c:pt idx="92">
                  <c:v>Pesquisador S��nior em Intelig��ncia Artificial e Ci��ncia de Dados</c:v>
                </c:pt>
                <c:pt idx="93">
                  <c:v>Physics Student</c:v>
                </c:pt>
                <c:pt idx="94">
                  <c:v>Projektmanagerin (Project Manager)</c:v>
                </c:pt>
                <c:pt idx="95">
                  <c:v>Psychology Research Student</c:v>
                </c:pt>
                <c:pt idx="96">
                  <c:v>Psychology Student</c:v>
                </c:pt>
                <c:pt idx="97">
                  <c:v>Research Analyst</c:v>
                </c:pt>
                <c:pt idx="98">
                  <c:v>Research Assistant</c:v>
                </c:pt>
                <c:pt idx="99">
                  <c:v>Research Scientist</c:v>
                </c:pt>
                <c:pt idx="100">
                  <c:v>Research Scientist / Data Analyst</c:v>
                </c:pt>
                <c:pt idx="101">
                  <c:v>Research Scientist/Senior Research Officer</c:v>
                </c:pt>
                <c:pt idx="102">
                  <c:v>Research Technician</c:v>
                </c:pt>
                <c:pt idx="103">
                  <c:v>Responsable de Contenu Digital</c:v>
                </c:pt>
                <c:pt idx="104">
                  <c:v>Senior Content Strategist</c:v>
                </c:pt>
                <c:pt idx="105">
                  <c:v>Senior Data Scientist</c:v>
                </c:pt>
                <c:pt idx="106">
                  <c:v>Senior Machine Learning Engineer</c:v>
                </c:pt>
                <c:pt idx="107">
                  <c:v>Senior Research Scientist</c:v>
                </c:pt>
                <c:pt idx="108">
                  <c:v>Senior Software Developer</c:v>
                </c:pt>
                <c:pt idx="109">
                  <c:v>Senior Software Developer / Softwareentwicklerin</c:v>
                </c:pt>
                <c:pt idx="110">
                  <c:v>Senior Software Engineer</c:v>
                </c:pt>
                <c:pt idx="111">
                  <c:v>Senior Software Engineer / AI Solutions Architect</c:v>
                </c:pt>
                <c:pt idx="112">
                  <c:v>Senior Software Engineer / AI Systems Developer</c:v>
                </c:pt>
                <c:pt idx="113">
                  <c:v>Senior Software Engineer / Technical Lead</c:v>
                </c:pt>
                <c:pt idx="114">
                  <c:v>Social Media Content Creator</c:v>
                </c:pt>
                <c:pt idx="115">
                  <c:v>Social Media Content Creator / Digital Marketer</c:v>
                </c:pt>
                <c:pt idx="116">
                  <c:v>Software Developer</c:v>
                </c:pt>
                <c:pt idx="117">
                  <c:v>Software Developer (Diploma Qualified)</c:v>
                </c:pt>
                <c:pt idx="118">
                  <c:v>Software Development Student</c:v>
                </c:pt>
                <c:pt idx="119">
                  <c:v>Software Engineering Student</c:v>
                </c:pt>
                <c:pt idx="120">
                  <c:v>Software Support Technician</c:v>
                </c:pt>
                <c:pt idx="121">
                  <c:v>Softwareentwickler (Software Developer)</c:v>
                </c:pt>
                <c:pt idx="122">
                  <c:v>Softwareentwicklerin (Software Developer)</c:v>
                </c:pt>
                <c:pt idx="123">
                  <c:v>Statistics Student</c:v>
                </c:pt>
                <c:pt idx="124">
                  <c:v>Technical Writer</c:v>
                </c:pt>
                <c:pt idx="125">
                  <c:v>Theoretical Physics Student</c:v>
                </c:pt>
                <c:pt idx="126">
                  <c:v>(blank)</c:v>
                </c:pt>
              </c:strCache>
            </c:strRef>
          </c:cat>
          <c:val>
            <c:numRef>
              <c:f>'EDA PT'!$I$136:$I$263</c:f>
              <c:numCache>
                <c:formatCode>General</c:formatCode>
                <c:ptCount val="127"/>
                <c:pt idx="0">
                  <c:v>4.8</c:v>
                </c:pt>
                <c:pt idx="1">
                  <c:v>11.475</c:v>
                </c:pt>
                <c:pt idx="2">
                  <c:v>0.6</c:v>
                </c:pt>
                <c:pt idx="3">
                  <c:v>7.1</c:v>
                </c:pt>
                <c:pt idx="4">
                  <c:v>7.1</c:v>
                </c:pt>
                <c:pt idx="5">
                  <c:v>8.1999999999999993</c:v>
                </c:pt>
                <c:pt idx="6">
                  <c:v>0</c:v>
                </c:pt>
                <c:pt idx="7">
                  <c:v>3.9</c:v>
                </c:pt>
                <c:pt idx="9">
                  <c:v>3.7</c:v>
                </c:pt>
                <c:pt idx="10">
                  <c:v>2.7</c:v>
                </c:pt>
                <c:pt idx="11">
                  <c:v>14.9</c:v>
                </c:pt>
                <c:pt idx="12">
                  <c:v>2.9</c:v>
                </c:pt>
                <c:pt idx="13">
                  <c:v>5.6</c:v>
                </c:pt>
                <c:pt idx="14">
                  <c:v>0.7</c:v>
                </c:pt>
                <c:pt idx="15">
                  <c:v>6.3727272727272721</c:v>
                </c:pt>
                <c:pt idx="16">
                  <c:v>5.8666666666666671</c:v>
                </c:pt>
                <c:pt idx="17">
                  <c:v>5.3</c:v>
                </c:pt>
                <c:pt idx="18">
                  <c:v>7.2</c:v>
                </c:pt>
                <c:pt idx="19">
                  <c:v>4</c:v>
                </c:pt>
                <c:pt idx="20">
                  <c:v>6.8333333333333321</c:v>
                </c:pt>
                <c:pt idx="21">
                  <c:v>2.9</c:v>
                </c:pt>
                <c:pt idx="22">
                  <c:v>5.3</c:v>
                </c:pt>
                <c:pt idx="23">
                  <c:v>8.4</c:v>
                </c:pt>
                <c:pt idx="24">
                  <c:v>0</c:v>
                </c:pt>
                <c:pt idx="25">
                  <c:v>6.3176470588235292</c:v>
                </c:pt>
                <c:pt idx="26">
                  <c:v>2</c:v>
                </c:pt>
                <c:pt idx="27">
                  <c:v>4.8</c:v>
                </c:pt>
                <c:pt idx="28">
                  <c:v>2.2000000000000002</c:v>
                </c:pt>
                <c:pt idx="29">
                  <c:v>4.8499999999999996</c:v>
                </c:pt>
                <c:pt idx="30">
                  <c:v>4.7</c:v>
                </c:pt>
                <c:pt idx="31">
                  <c:v>13.5</c:v>
                </c:pt>
                <c:pt idx="32">
                  <c:v>7.7375000000000007</c:v>
                </c:pt>
                <c:pt idx="33">
                  <c:v>7.8</c:v>
                </c:pt>
                <c:pt idx="34">
                  <c:v>4.9000000000000004</c:v>
                </c:pt>
                <c:pt idx="36">
                  <c:v>3.4</c:v>
                </c:pt>
                <c:pt idx="37">
                  <c:v>4</c:v>
                </c:pt>
                <c:pt idx="38">
                  <c:v>4</c:v>
                </c:pt>
                <c:pt idx="39">
                  <c:v>7.7666666666666657</c:v>
                </c:pt>
                <c:pt idx="40">
                  <c:v>2.7</c:v>
                </c:pt>
                <c:pt idx="41">
                  <c:v>5.7249999999999996</c:v>
                </c:pt>
                <c:pt idx="42">
                  <c:v>5.5</c:v>
                </c:pt>
                <c:pt idx="43">
                  <c:v>6.5</c:v>
                </c:pt>
                <c:pt idx="44">
                  <c:v>4.2</c:v>
                </c:pt>
                <c:pt idx="45">
                  <c:v>5.7</c:v>
                </c:pt>
                <c:pt idx="46">
                  <c:v>5.2099999999999991</c:v>
                </c:pt>
                <c:pt idx="47">
                  <c:v>0.5</c:v>
                </c:pt>
                <c:pt idx="48">
                  <c:v>11.5</c:v>
                </c:pt>
                <c:pt idx="49">
                  <c:v>7.4</c:v>
                </c:pt>
                <c:pt idx="50">
                  <c:v>0.1</c:v>
                </c:pt>
                <c:pt idx="51">
                  <c:v>7.9</c:v>
                </c:pt>
                <c:pt idx="52">
                  <c:v>6.2</c:v>
                </c:pt>
                <c:pt idx="53">
                  <c:v>6.4</c:v>
                </c:pt>
                <c:pt idx="54">
                  <c:v>4.5</c:v>
                </c:pt>
                <c:pt idx="55">
                  <c:v>3.8</c:v>
                </c:pt>
                <c:pt idx="56">
                  <c:v>2.6</c:v>
                </c:pt>
                <c:pt idx="57">
                  <c:v>16.5</c:v>
                </c:pt>
                <c:pt idx="58">
                  <c:v>5.0999999999999996</c:v>
                </c:pt>
                <c:pt idx="59">
                  <c:v>3.72</c:v>
                </c:pt>
                <c:pt idx="60">
                  <c:v>7.5</c:v>
                </c:pt>
                <c:pt idx="61">
                  <c:v>8.3000000000000007</c:v>
                </c:pt>
                <c:pt idx="62">
                  <c:v>3.9</c:v>
                </c:pt>
                <c:pt idx="63">
                  <c:v>12.8</c:v>
                </c:pt>
                <c:pt idx="64">
                  <c:v>6.6</c:v>
                </c:pt>
                <c:pt idx="65">
                  <c:v>9.3000000000000007</c:v>
                </c:pt>
                <c:pt idx="66">
                  <c:v>2.5</c:v>
                </c:pt>
                <c:pt idx="67">
                  <c:v>5</c:v>
                </c:pt>
                <c:pt idx="68">
                  <c:v>0</c:v>
                </c:pt>
                <c:pt idx="69">
                  <c:v>0</c:v>
                </c:pt>
                <c:pt idx="70">
                  <c:v>9.4499999999999993</c:v>
                </c:pt>
                <c:pt idx="71">
                  <c:v>7.8590909090909093</c:v>
                </c:pt>
                <c:pt idx="72">
                  <c:v>8.9499999999999993</c:v>
                </c:pt>
                <c:pt idx="73">
                  <c:v>5.2</c:v>
                </c:pt>
                <c:pt idx="74">
                  <c:v>1.3</c:v>
                </c:pt>
                <c:pt idx="75">
                  <c:v>4.4000000000000004</c:v>
                </c:pt>
                <c:pt idx="76">
                  <c:v>3</c:v>
                </c:pt>
                <c:pt idx="77">
                  <c:v>13.1</c:v>
                </c:pt>
                <c:pt idx="78">
                  <c:v>4.8600000000000003</c:v>
                </c:pt>
                <c:pt idx="79">
                  <c:v>8.3666666666666654</c:v>
                </c:pt>
                <c:pt idx="80">
                  <c:v>8.9499999999999993</c:v>
                </c:pt>
                <c:pt idx="81">
                  <c:v>7.1</c:v>
                </c:pt>
                <c:pt idx="82">
                  <c:v>2.7</c:v>
                </c:pt>
                <c:pt idx="83">
                  <c:v>1.5</c:v>
                </c:pt>
                <c:pt idx="84">
                  <c:v>5.2</c:v>
                </c:pt>
                <c:pt idx="85">
                  <c:v>2.7</c:v>
                </c:pt>
                <c:pt idx="86">
                  <c:v>6</c:v>
                </c:pt>
                <c:pt idx="87">
                  <c:v>3</c:v>
                </c:pt>
                <c:pt idx="88">
                  <c:v>5.24</c:v>
                </c:pt>
                <c:pt idx="89">
                  <c:v>4.8000000000000007</c:v>
                </c:pt>
                <c:pt idx="90">
                  <c:v>1</c:v>
                </c:pt>
                <c:pt idx="91">
                  <c:v>4.4000000000000004</c:v>
                </c:pt>
                <c:pt idx="92">
                  <c:v>1.6</c:v>
                </c:pt>
                <c:pt idx="93">
                  <c:v>0</c:v>
                </c:pt>
                <c:pt idx="94">
                  <c:v>5.8</c:v>
                </c:pt>
                <c:pt idx="95">
                  <c:v>5.9</c:v>
                </c:pt>
                <c:pt idx="96">
                  <c:v>0.1</c:v>
                </c:pt>
                <c:pt idx="97">
                  <c:v>5.9666666666666659</c:v>
                </c:pt>
                <c:pt idx="98">
                  <c:v>2.7</c:v>
                </c:pt>
                <c:pt idx="99">
                  <c:v>13.4</c:v>
                </c:pt>
                <c:pt idx="101">
                  <c:v>1.2</c:v>
                </c:pt>
                <c:pt idx="102">
                  <c:v>5.9</c:v>
                </c:pt>
                <c:pt idx="103">
                  <c:v>2.8</c:v>
                </c:pt>
                <c:pt idx="104">
                  <c:v>1.95</c:v>
                </c:pt>
                <c:pt idx="105">
                  <c:v>5.6499999999999995</c:v>
                </c:pt>
                <c:pt idx="106">
                  <c:v>1.8</c:v>
                </c:pt>
                <c:pt idx="107">
                  <c:v>9.6</c:v>
                </c:pt>
                <c:pt idx="108">
                  <c:v>4.6000000000000005</c:v>
                </c:pt>
                <c:pt idx="109">
                  <c:v>7.2</c:v>
                </c:pt>
                <c:pt idx="110">
                  <c:v>7.1333333333333329</c:v>
                </c:pt>
                <c:pt idx="111">
                  <c:v>2.8</c:v>
                </c:pt>
                <c:pt idx="112">
                  <c:v>2.7</c:v>
                </c:pt>
                <c:pt idx="113">
                  <c:v>5.8</c:v>
                </c:pt>
                <c:pt idx="114">
                  <c:v>3.2</c:v>
                </c:pt>
                <c:pt idx="115">
                  <c:v>3.2</c:v>
                </c:pt>
                <c:pt idx="116">
                  <c:v>3.5857142857142854</c:v>
                </c:pt>
                <c:pt idx="117">
                  <c:v>3</c:v>
                </c:pt>
                <c:pt idx="118">
                  <c:v>4.8</c:v>
                </c:pt>
                <c:pt idx="119">
                  <c:v>4.6428571428571432</c:v>
                </c:pt>
                <c:pt idx="120">
                  <c:v>2.2000000000000002</c:v>
                </c:pt>
                <c:pt idx="121">
                  <c:v>8.4</c:v>
                </c:pt>
                <c:pt idx="122">
                  <c:v>5.7</c:v>
                </c:pt>
                <c:pt idx="123">
                  <c:v>3.6</c:v>
                </c:pt>
                <c:pt idx="124">
                  <c:v>2</c:v>
                </c:pt>
                <c:pt idx="125">
                  <c:v>4.8</c:v>
                </c:pt>
                <c:pt idx="126">
                  <c:v>6.2384615384615376</c:v>
                </c:pt>
              </c:numCache>
            </c:numRef>
          </c:val>
          <c:extLst>
            <c:ext xmlns:c16="http://schemas.microsoft.com/office/drawing/2014/chart" uri="{C3380CC4-5D6E-409C-BE32-E72D297353CC}">
              <c16:uniqueId val="{00000000-C49A-4C41-8735-78EF2572E316}"/>
            </c:ext>
          </c:extLst>
        </c:ser>
        <c:dLbls>
          <c:showLegendKey val="0"/>
          <c:showVal val="0"/>
          <c:showCatName val="0"/>
          <c:showSerName val="0"/>
          <c:showPercent val="0"/>
          <c:showBubbleSize val="0"/>
        </c:dLbls>
        <c:gapWidth val="150"/>
        <c:overlap val="100"/>
        <c:axId val="438874351"/>
        <c:axId val="365544591"/>
      </c:barChart>
      <c:catAx>
        <c:axId val="438874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365544591"/>
        <c:crosses val="autoZero"/>
        <c:auto val="1"/>
        <c:lblAlgn val="ctr"/>
        <c:lblOffset val="100"/>
        <c:noMultiLvlLbl val="0"/>
      </c:catAx>
      <c:valAx>
        <c:axId val="365544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43887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G"/>
        </a:p>
      </c:txPr>
    </c:title>
    <c:autoTitleDeleted val="0"/>
    <c:plotArea>
      <c:layout/>
      <c:scatterChart>
        <c:scatterStyle val="lineMarker"/>
        <c:varyColors val="0"/>
        <c:ser>
          <c:idx val="0"/>
          <c:order val="0"/>
          <c:tx>
            <c:strRef>
              <c:f>AI_Usage_and_Impact_on_Students!$AO$1</c:f>
              <c:strCache>
                <c:ptCount val="1"/>
                <c:pt idx="0">
                  <c:v>Average of Time_Saved_Hours_Per_Week</c:v>
                </c:pt>
              </c:strCache>
            </c:strRef>
          </c:tx>
          <c:spPr>
            <a:ln w="38100" cap="rnd">
              <a:noFill/>
              <a:round/>
            </a:ln>
            <a:effectLst/>
          </c:spPr>
          <c:marker>
            <c:symbol val="circle"/>
            <c:size val="5"/>
            <c:spPr>
              <a:solidFill>
                <a:schemeClr val="accent1"/>
              </a:solidFill>
              <a:ln w="9525">
                <a:solidFill>
                  <a:schemeClr val="accent1"/>
                </a:solidFill>
              </a:ln>
              <a:effectLst/>
            </c:spPr>
          </c:marker>
          <c:xVal>
            <c:strRef>
              <c:f>AI_Usage_and_Impact_on_Students!$AN$2:$AN$77</c:f>
              <c:strCache>
                <c:ptCount val="76"/>
                <c:pt idx="0">
                  <c:v>0.5</c:v>
                </c:pt>
                <c:pt idx="1">
                  <c:v>0.6</c:v>
                </c:pt>
                <c:pt idx="2">
                  <c:v>0.7</c:v>
                </c:pt>
                <c:pt idx="3">
                  <c:v>0.8</c:v>
                </c:pt>
                <c:pt idx="4">
                  <c:v>0.9</c:v>
                </c:pt>
                <c:pt idx="5">
                  <c:v>1</c:v>
                </c:pt>
                <c:pt idx="6">
                  <c:v>1.1</c:v>
                </c:pt>
                <c:pt idx="7">
                  <c:v>1.2</c:v>
                </c:pt>
                <c:pt idx="8">
                  <c:v>1.3</c:v>
                </c:pt>
                <c:pt idx="9">
                  <c:v>1.4</c:v>
                </c:pt>
                <c:pt idx="10">
                  <c:v>1.5</c:v>
                </c:pt>
                <c:pt idx="11">
                  <c:v>1.6</c:v>
                </c:pt>
                <c:pt idx="12">
                  <c:v>1.7</c:v>
                </c:pt>
                <c:pt idx="13">
                  <c:v>1.8</c:v>
                </c:pt>
                <c:pt idx="14">
                  <c:v>1.9</c:v>
                </c:pt>
                <c:pt idx="15">
                  <c:v>2</c:v>
                </c:pt>
                <c:pt idx="16">
                  <c:v>2.1</c:v>
                </c:pt>
                <c:pt idx="17">
                  <c:v>2.2</c:v>
                </c:pt>
                <c:pt idx="18">
                  <c:v>2.3</c:v>
                </c:pt>
                <c:pt idx="19">
                  <c:v>2.4</c:v>
                </c:pt>
                <c:pt idx="20">
                  <c:v>2.5</c:v>
                </c:pt>
                <c:pt idx="21">
                  <c:v>2.6</c:v>
                </c:pt>
                <c:pt idx="22">
                  <c:v>2.7</c:v>
                </c:pt>
                <c:pt idx="23">
                  <c:v>2.8</c:v>
                </c:pt>
                <c:pt idx="24">
                  <c:v>2.9</c:v>
                </c:pt>
                <c:pt idx="25">
                  <c:v>3</c:v>
                </c:pt>
                <c:pt idx="26">
                  <c:v>3.1</c:v>
                </c:pt>
                <c:pt idx="27">
                  <c:v>3.2</c:v>
                </c:pt>
                <c:pt idx="28">
                  <c:v>3.3</c:v>
                </c:pt>
                <c:pt idx="29">
                  <c:v>3.4</c:v>
                </c:pt>
                <c:pt idx="30">
                  <c:v>3.5</c:v>
                </c:pt>
                <c:pt idx="31">
                  <c:v>3.6</c:v>
                </c:pt>
                <c:pt idx="32">
                  <c:v>3.7</c:v>
                </c:pt>
                <c:pt idx="33">
                  <c:v>3.8</c:v>
                </c:pt>
                <c:pt idx="34">
                  <c:v>3.9</c:v>
                </c:pt>
                <c:pt idx="35">
                  <c:v>4</c:v>
                </c:pt>
                <c:pt idx="36">
                  <c:v>4.1</c:v>
                </c:pt>
                <c:pt idx="37">
                  <c:v>4.2</c:v>
                </c:pt>
                <c:pt idx="38">
                  <c:v>4.3</c:v>
                </c:pt>
                <c:pt idx="39">
                  <c:v>4.4</c:v>
                </c:pt>
                <c:pt idx="40">
                  <c:v>4.5</c:v>
                </c:pt>
                <c:pt idx="41">
                  <c:v>4.6</c:v>
                </c:pt>
                <c:pt idx="42">
                  <c:v>4.8</c:v>
                </c:pt>
                <c:pt idx="43">
                  <c:v>4.9</c:v>
                </c:pt>
                <c:pt idx="44">
                  <c:v>5</c:v>
                </c:pt>
                <c:pt idx="45">
                  <c:v>5.1</c:v>
                </c:pt>
                <c:pt idx="46">
                  <c:v>5.2</c:v>
                </c:pt>
                <c:pt idx="47">
                  <c:v>5.3</c:v>
                </c:pt>
                <c:pt idx="48">
                  <c:v>5.4</c:v>
                </c:pt>
                <c:pt idx="49">
                  <c:v>5.5</c:v>
                </c:pt>
                <c:pt idx="50">
                  <c:v>5.7</c:v>
                </c:pt>
                <c:pt idx="51">
                  <c:v>5.8</c:v>
                </c:pt>
                <c:pt idx="52">
                  <c:v>5.9</c:v>
                </c:pt>
                <c:pt idx="53">
                  <c:v>6</c:v>
                </c:pt>
                <c:pt idx="54">
                  <c:v>6.1</c:v>
                </c:pt>
                <c:pt idx="55">
                  <c:v>6.3</c:v>
                </c:pt>
                <c:pt idx="56">
                  <c:v>6.5</c:v>
                </c:pt>
                <c:pt idx="57">
                  <c:v>6.8</c:v>
                </c:pt>
                <c:pt idx="58">
                  <c:v>7</c:v>
                </c:pt>
                <c:pt idx="59">
                  <c:v>7.1</c:v>
                </c:pt>
                <c:pt idx="60">
                  <c:v>7.2</c:v>
                </c:pt>
                <c:pt idx="61">
                  <c:v>7.4</c:v>
                </c:pt>
                <c:pt idx="62">
                  <c:v>7.7</c:v>
                </c:pt>
                <c:pt idx="63">
                  <c:v>7.9</c:v>
                </c:pt>
                <c:pt idx="64">
                  <c:v>8</c:v>
                </c:pt>
                <c:pt idx="65">
                  <c:v>8.1</c:v>
                </c:pt>
                <c:pt idx="66">
                  <c:v>8.5</c:v>
                </c:pt>
                <c:pt idx="67">
                  <c:v>8.6</c:v>
                </c:pt>
                <c:pt idx="68">
                  <c:v>9.1</c:v>
                </c:pt>
                <c:pt idx="69">
                  <c:v>9.5</c:v>
                </c:pt>
                <c:pt idx="70">
                  <c:v>9.6</c:v>
                </c:pt>
                <c:pt idx="71">
                  <c:v>9.7</c:v>
                </c:pt>
                <c:pt idx="72">
                  <c:v>9.8</c:v>
                </c:pt>
                <c:pt idx="73">
                  <c:v>9.9</c:v>
                </c:pt>
                <c:pt idx="74">
                  <c:v>23</c:v>
                </c:pt>
                <c:pt idx="75">
                  <c:v>(blank)</c:v>
                </c:pt>
              </c:strCache>
            </c:strRef>
          </c:xVal>
          <c:yVal>
            <c:numRef>
              <c:f>AI_Usage_and_Impact_on_Students!$AO$2:$AO$77</c:f>
              <c:numCache>
                <c:formatCode>0.00</c:formatCode>
                <c:ptCount val="76"/>
                <c:pt idx="0" formatCode="General">
                  <c:v>1.8199999999999998</c:v>
                </c:pt>
                <c:pt idx="1">
                  <c:v>1.99166666666667</c:v>
                </c:pt>
                <c:pt idx="2" formatCode="General">
                  <c:v>2.375</c:v>
                </c:pt>
                <c:pt idx="3" formatCode="General">
                  <c:v>1.7</c:v>
                </c:pt>
                <c:pt idx="4" formatCode="General">
                  <c:v>1.375</c:v>
                </c:pt>
                <c:pt idx="5" formatCode="General">
                  <c:v>2.5857142857142859</c:v>
                </c:pt>
                <c:pt idx="6" formatCode="General">
                  <c:v>5.35</c:v>
                </c:pt>
                <c:pt idx="7" formatCode="General">
                  <c:v>2.8555555555555556</c:v>
                </c:pt>
                <c:pt idx="8" formatCode="General">
                  <c:v>3.0888888888888895</c:v>
                </c:pt>
                <c:pt idx="9" formatCode="General">
                  <c:v>2.4555555555555557</c:v>
                </c:pt>
                <c:pt idx="10" formatCode="General">
                  <c:v>4.1166666666666663</c:v>
                </c:pt>
                <c:pt idx="11" formatCode="General">
                  <c:v>4.8916666666666666</c:v>
                </c:pt>
                <c:pt idx="12" formatCode="General">
                  <c:v>4.4750000000000005</c:v>
                </c:pt>
                <c:pt idx="13" formatCode="General">
                  <c:v>3.9666666666666663</c:v>
                </c:pt>
                <c:pt idx="14" formatCode="General">
                  <c:v>3.6363636363636362</c:v>
                </c:pt>
                <c:pt idx="15" formatCode="General">
                  <c:v>4.1625000000000005</c:v>
                </c:pt>
                <c:pt idx="16" formatCode="General">
                  <c:v>3.4</c:v>
                </c:pt>
                <c:pt idx="17" formatCode="General">
                  <c:v>3.38</c:v>
                </c:pt>
                <c:pt idx="18" formatCode="General">
                  <c:v>2.9166666666666665</c:v>
                </c:pt>
                <c:pt idx="19" formatCode="General">
                  <c:v>4.8500000000000005</c:v>
                </c:pt>
                <c:pt idx="20" formatCode="General">
                  <c:v>5</c:v>
                </c:pt>
                <c:pt idx="21" formatCode="General">
                  <c:v>4.2</c:v>
                </c:pt>
                <c:pt idx="22" formatCode="General">
                  <c:v>6.375</c:v>
                </c:pt>
                <c:pt idx="23" formatCode="General">
                  <c:v>6.6400000000000006</c:v>
                </c:pt>
                <c:pt idx="24" formatCode="General">
                  <c:v>7.7666666666666666</c:v>
                </c:pt>
                <c:pt idx="25" formatCode="General">
                  <c:v>6.4</c:v>
                </c:pt>
                <c:pt idx="26" formatCode="General">
                  <c:v>5.2</c:v>
                </c:pt>
                <c:pt idx="27" formatCode="General">
                  <c:v>7.4</c:v>
                </c:pt>
                <c:pt idx="28" formatCode="General">
                  <c:v>6.625</c:v>
                </c:pt>
                <c:pt idx="29" formatCode="General">
                  <c:v>7.1500000000000012</c:v>
                </c:pt>
                <c:pt idx="30" formatCode="General">
                  <c:v>7.65</c:v>
                </c:pt>
                <c:pt idx="31" formatCode="General">
                  <c:v>5.2</c:v>
                </c:pt>
                <c:pt idx="32" formatCode="General">
                  <c:v>7.2249999999999996</c:v>
                </c:pt>
                <c:pt idx="33" formatCode="General">
                  <c:v>8.1999999999999993</c:v>
                </c:pt>
                <c:pt idx="34" formatCode="General">
                  <c:v>8.48</c:v>
                </c:pt>
                <c:pt idx="35" formatCode="General">
                  <c:v>6.8000000000000007</c:v>
                </c:pt>
                <c:pt idx="36" formatCode="General">
                  <c:v>7.92</c:v>
                </c:pt>
                <c:pt idx="37" formatCode="General">
                  <c:v>5.6</c:v>
                </c:pt>
                <c:pt idx="38" formatCode="General">
                  <c:v>6.5333333333333341</c:v>
                </c:pt>
                <c:pt idx="39" formatCode="General">
                  <c:v>7.95</c:v>
                </c:pt>
                <c:pt idx="40" formatCode="General">
                  <c:v>5.5</c:v>
                </c:pt>
                <c:pt idx="41" formatCode="General">
                  <c:v>9.6999999999999993</c:v>
                </c:pt>
                <c:pt idx="42" formatCode="General">
                  <c:v>5.7</c:v>
                </c:pt>
                <c:pt idx="43" formatCode="General">
                  <c:v>9.18</c:v>
                </c:pt>
                <c:pt idx="44" formatCode="0.0">
                  <c:v>11.066666666666668</c:v>
                </c:pt>
                <c:pt idx="45" formatCode="0.0">
                  <c:v>11.4</c:v>
                </c:pt>
                <c:pt idx="46" formatCode="0.0">
                  <c:v>12.1</c:v>
                </c:pt>
                <c:pt idx="47" formatCode="0.0">
                  <c:v>10.7</c:v>
                </c:pt>
                <c:pt idx="48" formatCode="0.0">
                  <c:v>10.200000000000001</c:v>
                </c:pt>
                <c:pt idx="49" formatCode="0.0">
                  <c:v>9.5500000000000007</c:v>
                </c:pt>
                <c:pt idx="50" formatCode="0.0">
                  <c:v>12.6</c:v>
                </c:pt>
                <c:pt idx="51" formatCode="0.0">
                  <c:v>11.85</c:v>
                </c:pt>
                <c:pt idx="52" formatCode="0.0">
                  <c:v>11.166666666666666</c:v>
                </c:pt>
                <c:pt idx="53" formatCode="0.0">
                  <c:v>13.1</c:v>
                </c:pt>
                <c:pt idx="54" formatCode="0.0">
                  <c:v>8.9</c:v>
                </c:pt>
                <c:pt idx="55" formatCode="0.0">
                  <c:v>10</c:v>
                </c:pt>
                <c:pt idx="56" formatCode="0.0">
                  <c:v>14.2</c:v>
                </c:pt>
                <c:pt idx="57" formatCode="0.0">
                  <c:v>14.1</c:v>
                </c:pt>
                <c:pt idx="58" formatCode="0.0">
                  <c:v>12.8</c:v>
                </c:pt>
                <c:pt idx="59" formatCode="0.0">
                  <c:v>11.6</c:v>
                </c:pt>
                <c:pt idx="60" formatCode="0.0">
                  <c:v>12.45</c:v>
                </c:pt>
                <c:pt idx="61" formatCode="0.0">
                  <c:v>12.3</c:v>
                </c:pt>
                <c:pt idx="62" formatCode="0.0">
                  <c:v>13.6</c:v>
                </c:pt>
                <c:pt idx="63" formatCode="0.0">
                  <c:v>14.2</c:v>
                </c:pt>
                <c:pt idx="64" formatCode="0.0">
                  <c:v>16.05</c:v>
                </c:pt>
                <c:pt idx="65" formatCode="0.0">
                  <c:v>16.5</c:v>
                </c:pt>
                <c:pt idx="66" formatCode="0.0">
                  <c:v>15.6</c:v>
                </c:pt>
                <c:pt idx="67" formatCode="0.0">
                  <c:v>17.7</c:v>
                </c:pt>
                <c:pt idx="68" formatCode="0.0">
                  <c:v>14.9</c:v>
                </c:pt>
                <c:pt idx="69" formatCode="0.0">
                  <c:v>15.2</c:v>
                </c:pt>
                <c:pt idx="70" formatCode="0.0">
                  <c:v>19.399999999999999</c:v>
                </c:pt>
                <c:pt idx="71" formatCode="0.0">
                  <c:v>17.2</c:v>
                </c:pt>
                <c:pt idx="72" formatCode="0.0">
                  <c:v>15.8</c:v>
                </c:pt>
                <c:pt idx="73" formatCode="0.0">
                  <c:v>16.2</c:v>
                </c:pt>
                <c:pt idx="74" formatCode="0.0">
                  <c:v>5.4</c:v>
                </c:pt>
                <c:pt idx="75" formatCode="General">
                  <c:v>5.7000000000000011</c:v>
                </c:pt>
              </c:numCache>
            </c:numRef>
          </c:yVal>
          <c:smooth val="0"/>
          <c:extLst>
            <c:ext xmlns:c16="http://schemas.microsoft.com/office/drawing/2014/chart" uri="{C3380CC4-5D6E-409C-BE32-E72D297353CC}">
              <c16:uniqueId val="{00000000-3AE6-421A-B615-BBCF5E7B2FFA}"/>
            </c:ext>
          </c:extLst>
        </c:ser>
        <c:dLbls>
          <c:showLegendKey val="0"/>
          <c:showVal val="0"/>
          <c:showCatName val="0"/>
          <c:showSerName val="0"/>
          <c:showPercent val="0"/>
          <c:showBubbleSize val="0"/>
        </c:dLbls>
        <c:axId val="547438511"/>
        <c:axId val="365464431"/>
      </c:scatterChart>
      <c:valAx>
        <c:axId val="54743851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365464431"/>
        <c:crosses val="autoZero"/>
        <c:crossBetween val="midCat"/>
      </c:valAx>
      <c:valAx>
        <c:axId val="365464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5474385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[AI_Usage_and_Impact_on_Students_and_Professionals.xlsx]EDA PT!PivotTable31</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'EDA PT'!$O$135</c:f>
              <c:strCache>
                <c:ptCount val="1"/>
                <c:pt idx="0">
                  <c:v>Average of AI_Usage_Hours_Per_Day</c:v>
                </c:pt>
              </c:strCache>
            </c:strRef>
          </c:tx>
          <c:spPr>
            <a:solidFill>
              <a:schemeClr val="accent1"/>
            </a:solidFill>
            <a:ln>
              <a:noFill/>
            </a:ln>
            <a:effectLst/>
          </c:spPr>
          <c:cat>
            <c:strRef>
              <c:f>'EDA PT'!$N$136:$N$138</c:f>
              <c:strCache>
                <c:ptCount val="2"/>
                <c:pt idx="0">
                  <c:v>Professional</c:v>
                </c:pt>
                <c:pt idx="1">
                  <c:v>Student</c:v>
                </c:pt>
              </c:strCache>
            </c:strRef>
          </c:cat>
          <c:val>
            <c:numRef>
              <c:f>'EDA PT'!$O$136:$O$138</c:f>
              <c:numCache>
                <c:formatCode>0.00</c:formatCode>
                <c:ptCount val="2"/>
                <c:pt idx="0">
                  <c:v>2.8711111111111109</c:v>
                </c:pt>
                <c:pt idx="1">
                  <c:v>3.0068493150684925</c:v>
                </c:pt>
              </c:numCache>
            </c:numRef>
          </c:val>
          <c:extLst>
            <c:ext xmlns:c16="http://schemas.microsoft.com/office/drawing/2014/chart" uri="{C3380CC4-5D6E-409C-BE32-E72D297353CC}">
              <c16:uniqueId val="{00000000-68DE-4FC7-9CAA-04BC8EDD0120}"/>
            </c:ext>
          </c:extLst>
        </c:ser>
        <c:ser>
          <c:idx val="1"/>
          <c:order val="1"/>
          <c:tx>
            <c:strRef>
              <c:f>'EDA PT'!$P$135</c:f>
              <c:strCache>
                <c:ptCount val="1"/>
                <c:pt idx="0">
                  <c:v>Average of Time_Saved_Hours_Per_Week</c:v>
                </c:pt>
              </c:strCache>
            </c:strRef>
          </c:tx>
          <c:spPr>
            <a:solidFill>
              <a:schemeClr val="accent2"/>
            </a:solidFill>
            <a:ln>
              <a:noFill/>
            </a:ln>
            <a:effectLst/>
          </c:spPr>
          <c:cat>
            <c:strRef>
              <c:f>'EDA PT'!$N$136:$N$138</c:f>
              <c:strCache>
                <c:ptCount val="2"/>
                <c:pt idx="0">
                  <c:v>Professional</c:v>
                </c:pt>
                <c:pt idx="1">
                  <c:v>Student</c:v>
                </c:pt>
              </c:strCache>
            </c:strRef>
          </c:cat>
          <c:val>
            <c:numRef>
              <c:f>'EDA PT'!$P$136:$P$138</c:f>
              <c:numCache>
                <c:formatCode>0.00</c:formatCode>
                <c:ptCount val="2"/>
                <c:pt idx="0">
                  <c:v>5.5538461538461537</c:v>
                </c:pt>
                <c:pt idx="1">
                  <c:v>6.0351351351351346</c:v>
                </c:pt>
              </c:numCache>
            </c:numRef>
          </c:val>
          <c:extLst>
            <c:ext xmlns:c16="http://schemas.microsoft.com/office/drawing/2014/chart" uri="{C3380CC4-5D6E-409C-BE32-E72D297353CC}">
              <c16:uniqueId val="{00000001-68DE-4FC7-9CAA-04BC8EDD0120}"/>
            </c:ext>
          </c:extLst>
        </c:ser>
        <c:ser>
          <c:idx val="2"/>
          <c:order val="2"/>
          <c:tx>
            <c:strRef>
              <c:f>'EDA PT'!$Q$135</c:f>
              <c:strCache>
                <c:ptCount val="1"/>
                <c:pt idx="0">
                  <c:v>Average of Work_or_Study_Hours_Per_Day</c:v>
                </c:pt>
              </c:strCache>
            </c:strRef>
          </c:tx>
          <c:spPr>
            <a:solidFill>
              <a:schemeClr val="accent3"/>
            </a:solidFill>
            <a:ln>
              <a:noFill/>
            </a:ln>
            <a:effectLst/>
          </c:spPr>
          <c:cat>
            <c:strRef>
              <c:f>'EDA PT'!$N$136:$N$138</c:f>
              <c:strCache>
                <c:ptCount val="2"/>
                <c:pt idx="0">
                  <c:v>Professional</c:v>
                </c:pt>
                <c:pt idx="1">
                  <c:v>Student</c:v>
                </c:pt>
              </c:strCache>
            </c:strRef>
          </c:cat>
          <c:val>
            <c:numRef>
              <c:f>'EDA PT'!$Q$136:$Q$138</c:f>
              <c:numCache>
                <c:formatCode>0.00</c:formatCode>
                <c:ptCount val="2"/>
                <c:pt idx="0">
                  <c:v>8.3437037037037047</c:v>
                </c:pt>
                <c:pt idx="1">
                  <c:v>6.2312499999999984</c:v>
                </c:pt>
              </c:numCache>
            </c:numRef>
          </c:val>
          <c:extLst>
            <c:ext xmlns:c16="http://schemas.microsoft.com/office/drawing/2014/chart" uri="{C3380CC4-5D6E-409C-BE32-E72D297353CC}">
              <c16:uniqueId val="{00000002-68DE-4FC7-9CAA-04BC8EDD0120}"/>
            </c:ext>
          </c:extLst>
        </c:ser>
        <c:dLbls>
          <c:showLegendKey val="0"/>
          <c:showVal val="0"/>
          <c:showCatName val="0"/>
          <c:showSerName val="0"/>
          <c:showPercent val="0"/>
          <c:showBubbleSize val="0"/>
        </c:dLbls>
        <c:axId val="661258415"/>
        <c:axId val="141936655"/>
      </c:areaChart>
      <c:catAx>
        <c:axId val="6612584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141936655"/>
        <c:crosses val="autoZero"/>
        <c:auto val="1"/>
        <c:lblAlgn val="ctr"/>
        <c:lblOffset val="100"/>
        <c:noMultiLvlLbl val="0"/>
      </c:catAx>
      <c:valAx>
        <c:axId val="1419366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661258415"/>
        <c:crosses val="autoZero"/>
        <c:crossBetween val="midCat"/>
      </c:valAx>
      <c:spPr>
        <a:noFill/>
        <a:ln>
          <a:noFill/>
        </a:ln>
        <a:effectLst/>
      </c:spPr>
    </c:plotArea>
    <c:legend>
      <c:legendPos val="r"/>
      <c:layout>
        <c:manualLayout>
          <c:xMode val="edge"/>
          <c:yMode val="edge"/>
          <c:x val="0.72499999999999998"/>
          <c:y val="0.19813502478856809"/>
          <c:w val="0.25833333333333336"/>
          <c:h val="0.603729585885097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[AI_Usage_and_Impact_on_Students_and_Professionals.xlsx]EDA PT!PivotTable27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User</a:t>
            </a:r>
            <a:r>
              <a:rPr lang="en-US" baseline="0"/>
              <a:t> type vs Time saved hrs/wk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'EDA PT'!$C$135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03-455B-8040-75FE40B06E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03-455B-8040-75FE40B06E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 PT'!$B$136:$B$138</c:f>
              <c:strCache>
                <c:ptCount val="2"/>
                <c:pt idx="0">
                  <c:v>Professional</c:v>
                </c:pt>
                <c:pt idx="1">
                  <c:v>Student</c:v>
                </c:pt>
              </c:strCache>
            </c:strRef>
          </c:cat>
          <c:val>
            <c:numRef>
              <c:f>'EDA PT'!$C$136:$C$138</c:f>
              <c:numCache>
                <c:formatCode>General</c:formatCode>
                <c:ptCount val="2"/>
                <c:pt idx="0">
                  <c:v>722</c:v>
                </c:pt>
                <c:pt idx="1">
                  <c:v>893.19999999999993</c:v>
                </c:pt>
              </c:numCache>
            </c:numRef>
          </c:val>
          <c:extLst>
            <c:ext xmlns:c16="http://schemas.microsoft.com/office/drawing/2014/chart" uri="{C3380CC4-5D6E-409C-BE32-E72D297353CC}">
              <c16:uniqueId val="{00000004-1A03-455B-8040-75FE40B06E0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[AI_Usage_and_Impact_on_Students_and_Professionals.xlsx]EDA PT!PivotTable28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AI</a:t>
            </a:r>
            <a:r>
              <a:rPr lang="en-US" baseline="0"/>
              <a:t> tool vs Time saved hrs/wk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'EDA PT'!$F$135</c:f>
              <c:strCache>
                <c:ptCount val="1"/>
                <c:pt idx="0">
                  <c:v>Total</c:v>
                </c:pt>
              </c:strCache>
            </c:strRef>
          </c:tx>
          <c:spPr>
            <a:solidFill>
              <a:schemeClr val="accent1"/>
            </a:solidFill>
            <a:ln>
              <a:noFill/>
            </a:ln>
            <a:effectLst/>
          </c:spPr>
          <c:invertIfNegative val="0"/>
          <c:cat>
            <c:strRef>
              <c:f>'EDA PT'!$E$136:$E$145</c:f>
              <c:strCache>
                <c:ptCount val="9"/>
                <c:pt idx="0">
                  <c:v>Chat GPT</c:v>
                </c:pt>
                <c:pt idx="1">
                  <c:v>Claude</c:v>
                </c:pt>
                <c:pt idx="2">
                  <c:v>Copilot</c:v>
                </c:pt>
                <c:pt idx="3">
                  <c:v>DeepSeek</c:v>
                </c:pt>
                <c:pt idx="4">
                  <c:v>Gemini</c:v>
                </c:pt>
                <c:pt idx="5">
                  <c:v>Grammarly</c:v>
                </c:pt>
                <c:pt idx="6">
                  <c:v>Meta AI</c:v>
                </c:pt>
                <c:pt idx="7">
                  <c:v>Perplexity AI</c:v>
                </c:pt>
                <c:pt idx="8">
                  <c:v>(blank)</c:v>
                </c:pt>
              </c:strCache>
            </c:strRef>
          </c:cat>
          <c:val>
            <c:numRef>
              <c:f>'EDA PT'!$F$136:$F$145</c:f>
              <c:numCache>
                <c:formatCode>General</c:formatCode>
                <c:ptCount val="9"/>
                <c:pt idx="0">
                  <c:v>690</c:v>
                </c:pt>
                <c:pt idx="1">
                  <c:v>162.79999999999998</c:v>
                </c:pt>
                <c:pt idx="2">
                  <c:v>210.40000000000003</c:v>
                </c:pt>
                <c:pt idx="3">
                  <c:v>45.9</c:v>
                </c:pt>
                <c:pt idx="4">
                  <c:v>204.99999999999994</c:v>
                </c:pt>
                <c:pt idx="5">
                  <c:v>76.800000000000011</c:v>
                </c:pt>
                <c:pt idx="6">
                  <c:v>47.9</c:v>
                </c:pt>
                <c:pt idx="7">
                  <c:v>124</c:v>
                </c:pt>
                <c:pt idx="8">
                  <c:v>52.4</c:v>
                </c:pt>
              </c:numCache>
            </c:numRef>
          </c:val>
          <c:extLst>
            <c:ext xmlns:c16="http://schemas.microsoft.com/office/drawing/2014/chart" uri="{C3380CC4-5D6E-409C-BE32-E72D297353CC}">
              <c16:uniqueId val="{00000000-CE8F-42C5-BDD2-A9FF423FA48D}"/>
            </c:ext>
          </c:extLst>
        </c:ser>
        <c:dLbls>
          <c:showLegendKey val="0"/>
          <c:showVal val="0"/>
          <c:showCatName val="0"/>
          <c:showSerName val="0"/>
          <c:showPercent val="0"/>
          <c:showBubbleSize val="0"/>
        </c:dLbls>
        <c:gapWidth val="150"/>
        <c:overlap val="100"/>
        <c:axId val="547373551"/>
        <c:axId val="365451951"/>
      </c:barChart>
      <c:catAx>
        <c:axId val="547373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365451951"/>
        <c:crosses val="autoZero"/>
        <c:auto val="1"/>
        <c:lblAlgn val="ctr"/>
        <c:lblOffset val="100"/>
        <c:noMultiLvlLbl val="0"/>
      </c:catAx>
      <c:valAx>
        <c:axId val="365451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547373551"/>
        <c:crosses val="autoZero"/>
        <c:crossBetween val="between"/>
        <c:majorUnit val="5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[AI_Usage_and_Impact_on_Students_and_Professionals.xlsx]EDA PT!PivotTable29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Profession</a:t>
            </a:r>
            <a:r>
              <a:rPr lang="en-US" baseline="0"/>
              <a:t> vs Avg Time saved hrs/wk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'EDA PT'!$I$135</c:f>
              <c:strCache>
                <c:ptCount val="1"/>
                <c:pt idx="0">
                  <c:v>Total</c:v>
                </c:pt>
              </c:strCache>
            </c:strRef>
          </c:tx>
          <c:spPr>
            <a:solidFill>
              <a:schemeClr val="accent1"/>
            </a:solidFill>
            <a:ln>
              <a:noFill/>
            </a:ln>
            <a:effectLst/>
          </c:spPr>
          <c:invertIfNegative val="0"/>
          <c:cat>
            <c:strRef>
              <c:f>'EDA PT'!$H$136:$H$263</c:f>
              <c:strCache>
                <c:ptCount val="127"/>
                <c:pt idx="0">
                  <c:v>Academic Research Professor and Technical Writer</c:v>
                </c:pt>
                <c:pt idx="1">
                  <c:v>Administrative Assistant</c:v>
                </c:pt>
                <c:pt idx="2">
                  <c:v>Administrative Executive</c:v>
                </c:pt>
                <c:pt idx="3">
                  <c:v>AI Content Strategist</c:v>
                </c:pt>
                <c:pt idx="4">
                  <c:v>AI Customer Success Manager</c:v>
                </c:pt>
                <c:pt idx="5">
                  <c:v>AI Customer Support Specialist</c:v>
                </c:pt>
                <c:pt idx="6">
                  <c:v>AI-Powered Customer Support Executive</c:v>
                </c:pt>
                <c:pt idx="7">
                  <c:v>Analista de Dados</c:v>
                </c:pt>
                <c:pt idx="8">
                  <c:v>Analista de Dados S��nior</c:v>
                </c:pt>
                <c:pt idx="9">
                  <c:v>Analyste de Donn��es / Data Analyst</c:v>
                </c:pt>
                <c:pt idx="10">
                  <c:v>Artificial Intelligence &amp; Digital Media Student</c:v>
                </c:pt>
                <c:pt idx="11">
                  <c:v>Artificial Intelligence and Machine Learning Student</c:v>
                </c:pt>
                <c:pt idx="12">
                  <c:v>Artificial Intelligence Research Student</c:v>
                </c:pt>
                <c:pt idx="13">
                  <c:v>Assistente Administrativo</c:v>
                </c:pt>
                <c:pt idx="14">
                  <c:v>Bioinformatics Student</c:v>
                </c:pt>
                <c:pt idx="15">
                  <c:v>Biology Student</c:v>
                </c:pt>
                <c:pt idx="16">
                  <c:v>Biomedical Engineering Student</c:v>
                </c:pt>
                <c:pt idx="17">
                  <c:v>Biomedical Science Student</c:v>
                </c:pt>
                <c:pt idx="18">
                  <c:v>Biotechnology PhD Student</c:v>
                </c:pt>
                <c:pt idx="19">
                  <c:v>Biotechnology Student</c:v>
                </c:pt>
                <c:pt idx="20">
                  <c:v>Business Administration Student</c:v>
                </c:pt>
                <c:pt idx="21">
                  <c:v>Business Analyst</c:v>
                </c:pt>
                <c:pt idx="22">
                  <c:v>Business Analytics Student</c:v>
                </c:pt>
                <c:pt idx="23">
                  <c:v>Business Intelligence Analyst</c:v>
                </c:pt>
                <c:pt idx="24">
                  <c:v>Computer Science PhD Student</c:v>
                </c:pt>
                <c:pt idx="25">
                  <c:v>Computer Science Student</c:v>
                </c:pt>
                <c:pt idx="26">
                  <c:v>Content Creator/Gestor de Conte��do Digital</c:v>
                </c:pt>
                <c:pt idx="27">
                  <c:v>Content Manager</c:v>
                </c:pt>
                <c:pt idx="28">
                  <c:v>Content Marketing Manager</c:v>
                </c:pt>
                <c:pt idx="29">
                  <c:v>Content Strategist</c:v>
                </c:pt>
                <c:pt idx="30">
                  <c:v>Content Strategist &amp; Technical Writer</c:v>
                </c:pt>
                <c:pt idx="31">
                  <c:v>Content Strategy Manager</c:v>
                </c:pt>
                <c:pt idx="32">
                  <c:v>Content Writer</c:v>
                </c:pt>
                <c:pt idx="33">
                  <c:v>Creative Writing Student</c:v>
                </c:pt>
                <c:pt idx="34">
                  <c:v>Customer Experience Manager</c:v>
                </c:pt>
                <c:pt idx="35">
                  <c:v>Customer Service Executive</c:v>
                </c:pt>
                <c:pt idx="36">
                  <c:v>Customer Service Representative</c:v>
                </c:pt>
                <c:pt idx="37">
                  <c:v>Customer Support Executive</c:v>
                </c:pt>
                <c:pt idx="38">
                  <c:v>Customer Support Manager</c:v>
                </c:pt>
                <c:pt idx="39">
                  <c:v>Customer Support Specialist</c:v>
                </c:pt>
                <c:pt idx="40">
                  <c:v>Customer Support Specialist / AI Support Operations Manager</c:v>
                </c:pt>
                <c:pt idx="41">
                  <c:v>Data Analyst</c:v>
                </c:pt>
                <c:pt idx="42">
                  <c:v>Data Analyst / Business Intelligence Specialist</c:v>
                </c:pt>
                <c:pt idx="43">
                  <c:v>Data Analytics Manager</c:v>
                </c:pt>
                <c:pt idx="44">
                  <c:v>Data Entry Operator</c:v>
                </c:pt>
                <c:pt idx="45">
                  <c:v>Data Entry Specialist</c:v>
                </c:pt>
                <c:pt idx="46">
                  <c:v>Data Science Student</c:v>
                </c:pt>
                <c:pt idx="47">
                  <c:v>Datenanalyst</c:v>
                </c:pt>
                <c:pt idx="48">
                  <c:v>Desenvolvedor de Sistemas (Systems Developer)</c:v>
                </c:pt>
                <c:pt idx="49">
                  <c:v>Desenvolvedor de Sistemas Junior</c:v>
                </c:pt>
                <c:pt idx="50">
                  <c:v>Desenvolvedor de Software S��nior</c:v>
                </c:pt>
                <c:pt idx="51">
                  <c:v>Desenvolvedora de Sistemas J��nior</c:v>
                </c:pt>
                <c:pt idx="52">
                  <c:v>Desenvolvedora de Software</c:v>
                </c:pt>
                <c:pt idx="53">
                  <c:v>Desenvolvedora de Software / Software Developer</c:v>
                </c:pt>
                <c:pt idx="54">
                  <c:v>Digital Content Creator</c:v>
                </c:pt>
                <c:pt idx="55">
                  <c:v>Digital Content Creator / Social Media Manager</c:v>
                </c:pt>
                <c:pt idx="56">
                  <c:v>Digital Content Strategist</c:v>
                </c:pt>
                <c:pt idx="57">
                  <c:v>Digital Content Writer</c:v>
                </c:pt>
                <c:pt idx="58">
                  <c:v>Digital Marketing Manager</c:v>
                </c:pt>
                <c:pt idx="59">
                  <c:v>Digital Marketing Student</c:v>
                </c:pt>
                <c:pt idx="60">
                  <c:v>Digital Media &amp; Film Production Student</c:v>
                </c:pt>
                <c:pt idx="61">
                  <c:v>Digital Media and Communications Student</c:v>
                </c:pt>
                <c:pt idx="62">
                  <c:v>Digital Media Production Student</c:v>
                </c:pt>
                <c:pt idx="63">
                  <c:v>Digital Media Student</c:v>
                </c:pt>
                <c:pt idx="64">
                  <c:v>D��veloppeur Full Stack</c:v>
                </c:pt>
                <c:pt idx="65">
                  <c:v>D��veloppeur Full Stack Junior</c:v>
                </c:pt>
                <c:pt idx="66">
                  <c:v>D��veloppeur Logiciel (Software Developer)</c:v>
                </c:pt>
                <c:pt idx="67">
                  <c:v>Electronics and Communication Engineering Student</c:v>
                </c:pt>
                <c:pt idx="68">
                  <c:v>Electronics Engineering Student</c:v>
                </c:pt>
                <c:pt idx="69">
                  <c:v>Engenheiro de Software S��nior / Tech Lead</c:v>
                </c:pt>
                <c:pt idx="70">
                  <c:v>Engineering Student</c:v>
                </c:pt>
                <c:pt idx="71">
                  <c:v>English Literature Student</c:v>
                </c:pt>
                <c:pt idx="72">
                  <c:v>Environmental Science Student</c:v>
                </c:pt>
                <c:pt idx="73">
                  <c:v>Especialista em Atendimento ao Cliente com IA</c:v>
                </c:pt>
                <c:pt idx="74">
                  <c:v>Gerente de Atendimento ao Cliente</c:v>
                </c:pt>
                <c:pt idx="75">
                  <c:v>German Literature and Comparative Studies Student</c:v>
                </c:pt>
                <c:pt idx="76">
                  <c:v>German Literature Student</c:v>
                </c:pt>
                <c:pt idx="77">
                  <c:v>History Student</c:v>
                </c:pt>
                <c:pt idx="78">
                  <c:v>Information Technology Student</c:v>
                </c:pt>
                <c:pt idx="79">
                  <c:v>Junior Software Developer</c:v>
                </c:pt>
                <c:pt idx="80">
                  <c:v>Junior Web Developer</c:v>
                </c:pt>
                <c:pt idx="81">
                  <c:v>Kundenbetreuerin mit KI-Unterst��tzung</c:v>
                </c:pt>
                <c:pt idx="82">
                  <c:v>Kundenservice-Spezialistin / Customer Service Specialist</c:v>
                </c:pt>
                <c:pt idx="83">
                  <c:v>Literature Student</c:v>
                </c:pt>
                <c:pt idx="84">
                  <c:v>Machine Learning Research Student</c:v>
                </c:pt>
                <c:pt idx="85">
                  <c:v>Machine Learning Student</c:v>
                </c:pt>
                <c:pt idx="86">
                  <c:v>Marketing Communications Officer</c:v>
                </c:pt>
                <c:pt idx="87">
                  <c:v>Mathematics Student</c:v>
                </c:pt>
                <c:pt idx="88">
                  <c:v>Mechanical Engineering Student</c:v>
                </c:pt>
                <c:pt idx="89">
                  <c:v>Molecular Biology Student</c:v>
                </c:pt>
                <c:pt idx="90">
                  <c:v>Multimedia Content Producer</c:v>
                </c:pt>
                <c:pt idx="91">
                  <c:v>Pesquisador de Mercado</c:v>
                </c:pt>
                <c:pt idx="92">
                  <c:v>Pesquisador S��nior em Intelig��ncia Artificial e Ci��ncia de Dados</c:v>
                </c:pt>
                <c:pt idx="93">
                  <c:v>Physics Student</c:v>
                </c:pt>
                <c:pt idx="94">
                  <c:v>Projektmanagerin (Project Manager)</c:v>
                </c:pt>
                <c:pt idx="95">
                  <c:v>Psychology Research Student</c:v>
                </c:pt>
                <c:pt idx="96">
                  <c:v>Psychology Student</c:v>
                </c:pt>
                <c:pt idx="97">
                  <c:v>Research Analyst</c:v>
                </c:pt>
                <c:pt idx="98">
                  <c:v>Research Assistant</c:v>
                </c:pt>
                <c:pt idx="99">
                  <c:v>Research Scientist</c:v>
                </c:pt>
                <c:pt idx="100">
                  <c:v>Research Scientist / Data Analyst</c:v>
                </c:pt>
                <c:pt idx="101">
                  <c:v>Research Scientist/Senior Research Officer</c:v>
                </c:pt>
                <c:pt idx="102">
                  <c:v>Research Technician</c:v>
                </c:pt>
                <c:pt idx="103">
                  <c:v>Responsable de Contenu Digital</c:v>
                </c:pt>
                <c:pt idx="104">
                  <c:v>Senior Content Strategist</c:v>
                </c:pt>
                <c:pt idx="105">
                  <c:v>Senior Data Scientist</c:v>
                </c:pt>
                <c:pt idx="106">
                  <c:v>Senior Machine Learning Engineer</c:v>
                </c:pt>
                <c:pt idx="107">
                  <c:v>Senior Research Scientist</c:v>
                </c:pt>
                <c:pt idx="108">
                  <c:v>Senior Software Developer</c:v>
                </c:pt>
                <c:pt idx="109">
                  <c:v>Senior Software Developer / Softwareentwicklerin</c:v>
                </c:pt>
                <c:pt idx="110">
                  <c:v>Senior Software Engineer</c:v>
                </c:pt>
                <c:pt idx="111">
                  <c:v>Senior Software Engineer / AI Solutions Architect</c:v>
                </c:pt>
                <c:pt idx="112">
                  <c:v>Senior Software Engineer / AI Systems Developer</c:v>
                </c:pt>
                <c:pt idx="113">
                  <c:v>Senior Software Engineer / Technical Lead</c:v>
                </c:pt>
                <c:pt idx="114">
                  <c:v>Social Media Content Creator</c:v>
                </c:pt>
                <c:pt idx="115">
                  <c:v>Social Media Content Creator / Digital Marketer</c:v>
                </c:pt>
                <c:pt idx="116">
                  <c:v>Software Developer</c:v>
                </c:pt>
                <c:pt idx="117">
                  <c:v>Software Developer (Diploma Qualified)</c:v>
                </c:pt>
                <c:pt idx="118">
                  <c:v>Software Development Student</c:v>
                </c:pt>
                <c:pt idx="119">
                  <c:v>Software Engineering Student</c:v>
                </c:pt>
                <c:pt idx="120">
                  <c:v>Software Support Technician</c:v>
                </c:pt>
                <c:pt idx="121">
                  <c:v>Softwareentwickler (Software Developer)</c:v>
                </c:pt>
                <c:pt idx="122">
                  <c:v>Softwareentwicklerin (Software Developer)</c:v>
                </c:pt>
                <c:pt idx="123">
                  <c:v>Statistics Student</c:v>
                </c:pt>
                <c:pt idx="124">
                  <c:v>Technical Writer</c:v>
                </c:pt>
                <c:pt idx="125">
                  <c:v>Theoretical Physics Student</c:v>
                </c:pt>
                <c:pt idx="126">
                  <c:v>(blank)</c:v>
                </c:pt>
              </c:strCache>
            </c:strRef>
          </c:cat>
          <c:val>
            <c:numRef>
              <c:f>'EDA PT'!$I$136:$I$263</c:f>
              <c:numCache>
                <c:formatCode>General</c:formatCode>
                <c:ptCount val="127"/>
                <c:pt idx="0">
                  <c:v>4.8</c:v>
                </c:pt>
                <c:pt idx="1">
                  <c:v>11.475</c:v>
                </c:pt>
                <c:pt idx="2">
                  <c:v>0.6</c:v>
                </c:pt>
                <c:pt idx="3">
                  <c:v>7.1</c:v>
                </c:pt>
                <c:pt idx="4">
                  <c:v>7.1</c:v>
                </c:pt>
                <c:pt idx="5">
                  <c:v>8.1999999999999993</c:v>
                </c:pt>
                <c:pt idx="6">
                  <c:v>0</c:v>
                </c:pt>
                <c:pt idx="7">
                  <c:v>3.9</c:v>
                </c:pt>
                <c:pt idx="9">
                  <c:v>3.7</c:v>
                </c:pt>
                <c:pt idx="10">
                  <c:v>2.7</c:v>
                </c:pt>
                <c:pt idx="11">
                  <c:v>14.9</c:v>
                </c:pt>
                <c:pt idx="12">
                  <c:v>2.9</c:v>
                </c:pt>
                <c:pt idx="13">
                  <c:v>5.6</c:v>
                </c:pt>
                <c:pt idx="14">
                  <c:v>0.7</c:v>
                </c:pt>
                <c:pt idx="15">
                  <c:v>6.3727272727272721</c:v>
                </c:pt>
                <c:pt idx="16">
                  <c:v>5.8666666666666671</c:v>
                </c:pt>
                <c:pt idx="17">
                  <c:v>5.3</c:v>
                </c:pt>
                <c:pt idx="18">
                  <c:v>7.2</c:v>
                </c:pt>
                <c:pt idx="19">
                  <c:v>4</c:v>
                </c:pt>
                <c:pt idx="20">
                  <c:v>6.8333333333333321</c:v>
                </c:pt>
                <c:pt idx="21">
                  <c:v>2.9</c:v>
                </c:pt>
                <c:pt idx="22">
                  <c:v>5.3</c:v>
                </c:pt>
                <c:pt idx="23">
                  <c:v>8.4</c:v>
                </c:pt>
                <c:pt idx="24">
                  <c:v>0</c:v>
                </c:pt>
                <c:pt idx="25">
                  <c:v>6.3176470588235292</c:v>
                </c:pt>
                <c:pt idx="26">
                  <c:v>2</c:v>
                </c:pt>
                <c:pt idx="27">
                  <c:v>4.8</c:v>
                </c:pt>
                <c:pt idx="28">
                  <c:v>2.2000000000000002</c:v>
                </c:pt>
                <c:pt idx="29">
                  <c:v>4.8499999999999996</c:v>
                </c:pt>
                <c:pt idx="30">
                  <c:v>4.7</c:v>
                </c:pt>
                <c:pt idx="31">
                  <c:v>13.5</c:v>
                </c:pt>
                <c:pt idx="32">
                  <c:v>7.7375000000000007</c:v>
                </c:pt>
                <c:pt idx="33">
                  <c:v>7.8</c:v>
                </c:pt>
                <c:pt idx="34">
                  <c:v>4.9000000000000004</c:v>
                </c:pt>
                <c:pt idx="36">
                  <c:v>3.4</c:v>
                </c:pt>
                <c:pt idx="37">
                  <c:v>4</c:v>
                </c:pt>
                <c:pt idx="38">
                  <c:v>4</c:v>
                </c:pt>
                <c:pt idx="39">
                  <c:v>7.7666666666666657</c:v>
                </c:pt>
                <c:pt idx="40">
                  <c:v>2.7</c:v>
                </c:pt>
                <c:pt idx="41">
                  <c:v>5.7249999999999996</c:v>
                </c:pt>
                <c:pt idx="42">
                  <c:v>5.5</c:v>
                </c:pt>
                <c:pt idx="43">
                  <c:v>6.5</c:v>
                </c:pt>
                <c:pt idx="44">
                  <c:v>4.2</c:v>
                </c:pt>
                <c:pt idx="45">
                  <c:v>5.7</c:v>
                </c:pt>
                <c:pt idx="46">
                  <c:v>5.2099999999999991</c:v>
                </c:pt>
                <c:pt idx="47">
                  <c:v>0.5</c:v>
                </c:pt>
                <c:pt idx="48">
                  <c:v>11.5</c:v>
                </c:pt>
                <c:pt idx="49">
                  <c:v>7.4</c:v>
                </c:pt>
                <c:pt idx="50">
                  <c:v>0.1</c:v>
                </c:pt>
                <c:pt idx="51">
                  <c:v>7.9</c:v>
                </c:pt>
                <c:pt idx="52">
                  <c:v>6.2</c:v>
                </c:pt>
                <c:pt idx="53">
                  <c:v>6.4</c:v>
                </c:pt>
                <c:pt idx="54">
                  <c:v>4.5</c:v>
                </c:pt>
                <c:pt idx="55">
                  <c:v>3.8</c:v>
                </c:pt>
                <c:pt idx="56">
                  <c:v>2.6</c:v>
                </c:pt>
                <c:pt idx="57">
                  <c:v>16.5</c:v>
                </c:pt>
                <c:pt idx="58">
                  <c:v>5.0999999999999996</c:v>
                </c:pt>
                <c:pt idx="59">
                  <c:v>3.72</c:v>
                </c:pt>
                <c:pt idx="60">
                  <c:v>7.5</c:v>
                </c:pt>
                <c:pt idx="61">
                  <c:v>8.3000000000000007</c:v>
                </c:pt>
                <c:pt idx="62">
                  <c:v>3.9</c:v>
                </c:pt>
                <c:pt idx="63">
                  <c:v>12.8</c:v>
                </c:pt>
                <c:pt idx="64">
                  <c:v>6.6</c:v>
                </c:pt>
                <c:pt idx="65">
                  <c:v>9.3000000000000007</c:v>
                </c:pt>
                <c:pt idx="66">
                  <c:v>2.5</c:v>
                </c:pt>
                <c:pt idx="67">
                  <c:v>5</c:v>
                </c:pt>
                <c:pt idx="68">
                  <c:v>0</c:v>
                </c:pt>
                <c:pt idx="69">
                  <c:v>0</c:v>
                </c:pt>
                <c:pt idx="70">
                  <c:v>9.4499999999999993</c:v>
                </c:pt>
                <c:pt idx="71">
                  <c:v>7.8590909090909093</c:v>
                </c:pt>
                <c:pt idx="72">
                  <c:v>8.9499999999999993</c:v>
                </c:pt>
                <c:pt idx="73">
                  <c:v>5.2</c:v>
                </c:pt>
                <c:pt idx="74">
                  <c:v>1.3</c:v>
                </c:pt>
                <c:pt idx="75">
                  <c:v>4.4000000000000004</c:v>
                </c:pt>
                <c:pt idx="76">
                  <c:v>3</c:v>
                </c:pt>
                <c:pt idx="77">
                  <c:v>13.1</c:v>
                </c:pt>
                <c:pt idx="78">
                  <c:v>4.8600000000000003</c:v>
                </c:pt>
                <c:pt idx="79">
                  <c:v>8.3666666666666654</c:v>
                </c:pt>
                <c:pt idx="80">
                  <c:v>8.9499999999999993</c:v>
                </c:pt>
                <c:pt idx="81">
                  <c:v>7.1</c:v>
                </c:pt>
                <c:pt idx="82">
                  <c:v>2.7</c:v>
                </c:pt>
                <c:pt idx="83">
                  <c:v>1.5</c:v>
                </c:pt>
                <c:pt idx="84">
                  <c:v>5.2</c:v>
                </c:pt>
                <c:pt idx="85">
                  <c:v>2.7</c:v>
                </c:pt>
                <c:pt idx="86">
                  <c:v>6</c:v>
                </c:pt>
                <c:pt idx="87">
                  <c:v>3</c:v>
                </c:pt>
                <c:pt idx="88">
                  <c:v>5.24</c:v>
                </c:pt>
                <c:pt idx="89">
                  <c:v>4.8000000000000007</c:v>
                </c:pt>
                <c:pt idx="90">
                  <c:v>1</c:v>
                </c:pt>
                <c:pt idx="91">
                  <c:v>4.4000000000000004</c:v>
                </c:pt>
                <c:pt idx="92">
                  <c:v>1.6</c:v>
                </c:pt>
                <c:pt idx="93">
                  <c:v>0</c:v>
                </c:pt>
                <c:pt idx="94">
                  <c:v>5.8</c:v>
                </c:pt>
                <c:pt idx="95">
                  <c:v>5.9</c:v>
                </c:pt>
                <c:pt idx="96">
                  <c:v>0.1</c:v>
                </c:pt>
                <c:pt idx="97">
                  <c:v>5.9666666666666659</c:v>
                </c:pt>
                <c:pt idx="98">
                  <c:v>2.7</c:v>
                </c:pt>
                <c:pt idx="99">
                  <c:v>13.4</c:v>
                </c:pt>
                <c:pt idx="101">
                  <c:v>1.2</c:v>
                </c:pt>
                <c:pt idx="102">
                  <c:v>5.9</c:v>
                </c:pt>
                <c:pt idx="103">
                  <c:v>2.8</c:v>
                </c:pt>
                <c:pt idx="104">
                  <c:v>1.95</c:v>
                </c:pt>
                <c:pt idx="105">
                  <c:v>5.6499999999999995</c:v>
                </c:pt>
                <c:pt idx="106">
                  <c:v>1.8</c:v>
                </c:pt>
                <c:pt idx="107">
                  <c:v>9.6</c:v>
                </c:pt>
                <c:pt idx="108">
                  <c:v>4.6000000000000005</c:v>
                </c:pt>
                <c:pt idx="109">
                  <c:v>7.2</c:v>
                </c:pt>
                <c:pt idx="110">
                  <c:v>7.1333333333333329</c:v>
                </c:pt>
                <c:pt idx="111">
                  <c:v>2.8</c:v>
                </c:pt>
                <c:pt idx="112">
                  <c:v>2.7</c:v>
                </c:pt>
                <c:pt idx="113">
                  <c:v>5.8</c:v>
                </c:pt>
                <c:pt idx="114">
                  <c:v>3.2</c:v>
                </c:pt>
                <c:pt idx="115">
                  <c:v>3.2</c:v>
                </c:pt>
                <c:pt idx="116">
                  <c:v>3.5857142857142854</c:v>
                </c:pt>
                <c:pt idx="117">
                  <c:v>3</c:v>
                </c:pt>
                <c:pt idx="118">
                  <c:v>4.8</c:v>
                </c:pt>
                <c:pt idx="119">
                  <c:v>4.6428571428571432</c:v>
                </c:pt>
                <c:pt idx="120">
                  <c:v>2.2000000000000002</c:v>
                </c:pt>
                <c:pt idx="121">
                  <c:v>8.4</c:v>
                </c:pt>
                <c:pt idx="122">
                  <c:v>5.7</c:v>
                </c:pt>
                <c:pt idx="123">
                  <c:v>3.6</c:v>
                </c:pt>
                <c:pt idx="124">
                  <c:v>2</c:v>
                </c:pt>
                <c:pt idx="125">
                  <c:v>4.8</c:v>
                </c:pt>
                <c:pt idx="126">
                  <c:v>6.2384615384615376</c:v>
                </c:pt>
              </c:numCache>
            </c:numRef>
          </c:val>
          <c:extLst>
            <c:ext xmlns:c16="http://schemas.microsoft.com/office/drawing/2014/chart" uri="{C3380CC4-5D6E-409C-BE32-E72D297353CC}">
              <c16:uniqueId val="{00000000-57FF-48C9-A042-90C5ECDD9A49}"/>
            </c:ext>
          </c:extLst>
        </c:ser>
        <c:dLbls>
          <c:showLegendKey val="0"/>
          <c:showVal val="0"/>
          <c:showCatName val="0"/>
          <c:showSerName val="0"/>
          <c:showPercent val="0"/>
          <c:showBubbleSize val="0"/>
        </c:dLbls>
        <c:gapWidth val="150"/>
        <c:overlap val="100"/>
        <c:axId val="438874351"/>
        <c:axId val="365544591"/>
      </c:barChart>
      <c:catAx>
        <c:axId val="438874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365544591"/>
        <c:crosses val="autoZero"/>
        <c:auto val="1"/>
        <c:lblAlgn val="ctr"/>
        <c:lblOffset val="100"/>
        <c:noMultiLvlLbl val="0"/>
      </c:catAx>
      <c:valAx>
        <c:axId val="365544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43887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G"/>
        </a:p>
      </c:txPr>
    </c:title>
    <c:autoTitleDeleted val="0"/>
    <c:plotArea>
      <c:layout/>
      <c:scatterChart>
        <c:scatterStyle val="lineMarker"/>
        <c:varyColors val="0"/>
        <c:ser>
          <c:idx val="0"/>
          <c:order val="0"/>
          <c:tx>
            <c:strRef>
              <c:f>AI_Usage_and_Impact_on_Students!$AO$1</c:f>
              <c:strCache>
                <c:ptCount val="1"/>
                <c:pt idx="0">
                  <c:v>Average of Time_Saved_Hours_Per_Week</c:v>
                </c:pt>
              </c:strCache>
            </c:strRef>
          </c:tx>
          <c:spPr>
            <a:ln w="38100" cap="rnd">
              <a:noFill/>
              <a:round/>
            </a:ln>
            <a:effectLst/>
          </c:spPr>
          <c:marker>
            <c:symbol val="circle"/>
            <c:size val="5"/>
            <c:spPr>
              <a:solidFill>
                <a:schemeClr val="accent1"/>
              </a:solidFill>
              <a:ln w="9525">
                <a:solidFill>
                  <a:schemeClr val="accent1"/>
                </a:solidFill>
              </a:ln>
              <a:effectLst/>
            </c:spPr>
          </c:marker>
          <c:xVal>
            <c:strRef>
              <c:f>AI_Usage_and_Impact_on_Students!$AN$2:$AN$77</c:f>
              <c:strCache>
                <c:ptCount val="76"/>
                <c:pt idx="0">
                  <c:v>0.5</c:v>
                </c:pt>
                <c:pt idx="1">
                  <c:v>0.6</c:v>
                </c:pt>
                <c:pt idx="2">
                  <c:v>0.7</c:v>
                </c:pt>
                <c:pt idx="3">
                  <c:v>0.8</c:v>
                </c:pt>
                <c:pt idx="4">
                  <c:v>0.9</c:v>
                </c:pt>
                <c:pt idx="5">
                  <c:v>1</c:v>
                </c:pt>
                <c:pt idx="6">
                  <c:v>1.1</c:v>
                </c:pt>
                <c:pt idx="7">
                  <c:v>1.2</c:v>
                </c:pt>
                <c:pt idx="8">
                  <c:v>1.3</c:v>
                </c:pt>
                <c:pt idx="9">
                  <c:v>1.4</c:v>
                </c:pt>
                <c:pt idx="10">
                  <c:v>1.5</c:v>
                </c:pt>
                <c:pt idx="11">
                  <c:v>1.6</c:v>
                </c:pt>
                <c:pt idx="12">
                  <c:v>1.7</c:v>
                </c:pt>
                <c:pt idx="13">
                  <c:v>1.8</c:v>
                </c:pt>
                <c:pt idx="14">
                  <c:v>1.9</c:v>
                </c:pt>
                <c:pt idx="15">
                  <c:v>2</c:v>
                </c:pt>
                <c:pt idx="16">
                  <c:v>2.1</c:v>
                </c:pt>
                <c:pt idx="17">
                  <c:v>2.2</c:v>
                </c:pt>
                <c:pt idx="18">
                  <c:v>2.3</c:v>
                </c:pt>
                <c:pt idx="19">
                  <c:v>2.4</c:v>
                </c:pt>
                <c:pt idx="20">
                  <c:v>2.5</c:v>
                </c:pt>
                <c:pt idx="21">
                  <c:v>2.6</c:v>
                </c:pt>
                <c:pt idx="22">
                  <c:v>2.7</c:v>
                </c:pt>
                <c:pt idx="23">
                  <c:v>2.8</c:v>
                </c:pt>
                <c:pt idx="24">
                  <c:v>2.9</c:v>
                </c:pt>
                <c:pt idx="25">
                  <c:v>3</c:v>
                </c:pt>
                <c:pt idx="26">
                  <c:v>3.1</c:v>
                </c:pt>
                <c:pt idx="27">
                  <c:v>3.2</c:v>
                </c:pt>
                <c:pt idx="28">
                  <c:v>3.3</c:v>
                </c:pt>
                <c:pt idx="29">
                  <c:v>3.4</c:v>
                </c:pt>
                <c:pt idx="30">
                  <c:v>3.5</c:v>
                </c:pt>
                <c:pt idx="31">
                  <c:v>3.6</c:v>
                </c:pt>
                <c:pt idx="32">
                  <c:v>3.7</c:v>
                </c:pt>
                <c:pt idx="33">
                  <c:v>3.8</c:v>
                </c:pt>
                <c:pt idx="34">
                  <c:v>3.9</c:v>
                </c:pt>
                <c:pt idx="35">
                  <c:v>4</c:v>
                </c:pt>
                <c:pt idx="36">
                  <c:v>4.1</c:v>
                </c:pt>
                <c:pt idx="37">
                  <c:v>4.2</c:v>
                </c:pt>
                <c:pt idx="38">
                  <c:v>4.3</c:v>
                </c:pt>
                <c:pt idx="39">
                  <c:v>4.4</c:v>
                </c:pt>
                <c:pt idx="40">
                  <c:v>4.5</c:v>
                </c:pt>
                <c:pt idx="41">
                  <c:v>4.6</c:v>
                </c:pt>
                <c:pt idx="42">
                  <c:v>4.8</c:v>
                </c:pt>
                <c:pt idx="43">
                  <c:v>4.9</c:v>
                </c:pt>
                <c:pt idx="44">
                  <c:v>5</c:v>
                </c:pt>
                <c:pt idx="45">
                  <c:v>5.1</c:v>
                </c:pt>
                <c:pt idx="46">
                  <c:v>5.2</c:v>
                </c:pt>
                <c:pt idx="47">
                  <c:v>5.3</c:v>
                </c:pt>
                <c:pt idx="48">
                  <c:v>5.4</c:v>
                </c:pt>
                <c:pt idx="49">
                  <c:v>5.5</c:v>
                </c:pt>
                <c:pt idx="50">
                  <c:v>5.7</c:v>
                </c:pt>
                <c:pt idx="51">
                  <c:v>5.8</c:v>
                </c:pt>
                <c:pt idx="52">
                  <c:v>5.9</c:v>
                </c:pt>
                <c:pt idx="53">
                  <c:v>6</c:v>
                </c:pt>
                <c:pt idx="54">
                  <c:v>6.1</c:v>
                </c:pt>
                <c:pt idx="55">
                  <c:v>6.3</c:v>
                </c:pt>
                <c:pt idx="56">
                  <c:v>6.5</c:v>
                </c:pt>
                <c:pt idx="57">
                  <c:v>6.8</c:v>
                </c:pt>
                <c:pt idx="58">
                  <c:v>7</c:v>
                </c:pt>
                <c:pt idx="59">
                  <c:v>7.1</c:v>
                </c:pt>
                <c:pt idx="60">
                  <c:v>7.2</c:v>
                </c:pt>
                <c:pt idx="61">
                  <c:v>7.4</c:v>
                </c:pt>
                <c:pt idx="62">
                  <c:v>7.7</c:v>
                </c:pt>
                <c:pt idx="63">
                  <c:v>7.9</c:v>
                </c:pt>
                <c:pt idx="64">
                  <c:v>8</c:v>
                </c:pt>
                <c:pt idx="65">
                  <c:v>8.1</c:v>
                </c:pt>
                <c:pt idx="66">
                  <c:v>8.5</c:v>
                </c:pt>
                <c:pt idx="67">
                  <c:v>8.6</c:v>
                </c:pt>
                <c:pt idx="68">
                  <c:v>9.1</c:v>
                </c:pt>
                <c:pt idx="69">
                  <c:v>9.5</c:v>
                </c:pt>
                <c:pt idx="70">
                  <c:v>9.6</c:v>
                </c:pt>
                <c:pt idx="71">
                  <c:v>9.7</c:v>
                </c:pt>
                <c:pt idx="72">
                  <c:v>9.8</c:v>
                </c:pt>
                <c:pt idx="73">
                  <c:v>9.9</c:v>
                </c:pt>
                <c:pt idx="74">
                  <c:v>23</c:v>
                </c:pt>
                <c:pt idx="75">
                  <c:v>(blank)</c:v>
                </c:pt>
              </c:strCache>
            </c:strRef>
          </c:xVal>
          <c:yVal>
            <c:numRef>
              <c:f>AI_Usage_and_Impact_on_Students!$AO$2:$AO$77</c:f>
              <c:numCache>
                <c:formatCode>0.00</c:formatCode>
                <c:ptCount val="76"/>
                <c:pt idx="0" formatCode="General">
                  <c:v>1.8199999999999998</c:v>
                </c:pt>
                <c:pt idx="1">
                  <c:v>1.99166666666667</c:v>
                </c:pt>
                <c:pt idx="2" formatCode="General">
                  <c:v>2.375</c:v>
                </c:pt>
                <c:pt idx="3" formatCode="General">
                  <c:v>1.7</c:v>
                </c:pt>
                <c:pt idx="4" formatCode="General">
                  <c:v>1.375</c:v>
                </c:pt>
                <c:pt idx="5" formatCode="General">
                  <c:v>2.5857142857142859</c:v>
                </c:pt>
                <c:pt idx="6" formatCode="General">
                  <c:v>5.35</c:v>
                </c:pt>
                <c:pt idx="7" formatCode="General">
                  <c:v>2.8555555555555556</c:v>
                </c:pt>
                <c:pt idx="8" formatCode="General">
                  <c:v>3.0888888888888895</c:v>
                </c:pt>
                <c:pt idx="9" formatCode="General">
                  <c:v>2.4555555555555557</c:v>
                </c:pt>
                <c:pt idx="10" formatCode="General">
                  <c:v>4.1166666666666663</c:v>
                </c:pt>
                <c:pt idx="11" formatCode="General">
                  <c:v>4.8916666666666666</c:v>
                </c:pt>
                <c:pt idx="12" formatCode="General">
                  <c:v>4.4750000000000005</c:v>
                </c:pt>
                <c:pt idx="13" formatCode="General">
                  <c:v>3.9666666666666663</c:v>
                </c:pt>
                <c:pt idx="14" formatCode="General">
                  <c:v>3.6363636363636362</c:v>
                </c:pt>
                <c:pt idx="15" formatCode="General">
                  <c:v>4.1625000000000005</c:v>
                </c:pt>
                <c:pt idx="16" formatCode="General">
                  <c:v>3.4</c:v>
                </c:pt>
                <c:pt idx="17" formatCode="General">
                  <c:v>3.38</c:v>
                </c:pt>
                <c:pt idx="18" formatCode="General">
                  <c:v>2.9166666666666665</c:v>
                </c:pt>
                <c:pt idx="19" formatCode="General">
                  <c:v>4.8500000000000005</c:v>
                </c:pt>
                <c:pt idx="20" formatCode="General">
                  <c:v>5</c:v>
                </c:pt>
                <c:pt idx="21" formatCode="General">
                  <c:v>4.2</c:v>
                </c:pt>
                <c:pt idx="22" formatCode="General">
                  <c:v>6.375</c:v>
                </c:pt>
                <c:pt idx="23" formatCode="General">
                  <c:v>6.6400000000000006</c:v>
                </c:pt>
                <c:pt idx="24" formatCode="General">
                  <c:v>7.7666666666666666</c:v>
                </c:pt>
                <c:pt idx="25" formatCode="General">
                  <c:v>6.4</c:v>
                </c:pt>
                <c:pt idx="26" formatCode="General">
                  <c:v>5.2</c:v>
                </c:pt>
                <c:pt idx="27" formatCode="General">
                  <c:v>7.4</c:v>
                </c:pt>
                <c:pt idx="28" formatCode="General">
                  <c:v>6.625</c:v>
                </c:pt>
                <c:pt idx="29" formatCode="General">
                  <c:v>7.1500000000000012</c:v>
                </c:pt>
                <c:pt idx="30" formatCode="General">
                  <c:v>7.65</c:v>
                </c:pt>
                <c:pt idx="31" formatCode="General">
                  <c:v>5.2</c:v>
                </c:pt>
                <c:pt idx="32" formatCode="General">
                  <c:v>7.2249999999999996</c:v>
                </c:pt>
                <c:pt idx="33" formatCode="General">
                  <c:v>8.1999999999999993</c:v>
                </c:pt>
                <c:pt idx="34" formatCode="General">
                  <c:v>8.48</c:v>
                </c:pt>
                <c:pt idx="35" formatCode="General">
                  <c:v>6.8000000000000007</c:v>
                </c:pt>
                <c:pt idx="36" formatCode="General">
                  <c:v>7.92</c:v>
                </c:pt>
                <c:pt idx="37" formatCode="General">
                  <c:v>5.6</c:v>
                </c:pt>
                <c:pt idx="38" formatCode="General">
                  <c:v>6.5333333333333341</c:v>
                </c:pt>
                <c:pt idx="39" formatCode="General">
                  <c:v>7.95</c:v>
                </c:pt>
                <c:pt idx="40" formatCode="General">
                  <c:v>5.5</c:v>
                </c:pt>
                <c:pt idx="41" formatCode="General">
                  <c:v>9.6999999999999993</c:v>
                </c:pt>
                <c:pt idx="42" formatCode="General">
                  <c:v>5.7</c:v>
                </c:pt>
                <c:pt idx="43" formatCode="General">
                  <c:v>9.18</c:v>
                </c:pt>
                <c:pt idx="44" formatCode="0.0">
                  <c:v>11.066666666666668</c:v>
                </c:pt>
                <c:pt idx="45" formatCode="0.0">
                  <c:v>11.4</c:v>
                </c:pt>
                <c:pt idx="46" formatCode="0.0">
                  <c:v>12.1</c:v>
                </c:pt>
                <c:pt idx="47" formatCode="0.0">
                  <c:v>10.7</c:v>
                </c:pt>
                <c:pt idx="48" formatCode="0.0">
                  <c:v>10.200000000000001</c:v>
                </c:pt>
                <c:pt idx="49" formatCode="0.0">
                  <c:v>9.5500000000000007</c:v>
                </c:pt>
                <c:pt idx="50" formatCode="0.0">
                  <c:v>12.6</c:v>
                </c:pt>
                <c:pt idx="51" formatCode="0.0">
                  <c:v>11.85</c:v>
                </c:pt>
                <c:pt idx="52" formatCode="0.0">
                  <c:v>11.166666666666666</c:v>
                </c:pt>
                <c:pt idx="53" formatCode="0.0">
                  <c:v>13.1</c:v>
                </c:pt>
                <c:pt idx="54" formatCode="0.0">
                  <c:v>8.9</c:v>
                </c:pt>
                <c:pt idx="55" formatCode="0.0">
                  <c:v>10</c:v>
                </c:pt>
                <c:pt idx="56" formatCode="0.0">
                  <c:v>14.2</c:v>
                </c:pt>
                <c:pt idx="57" formatCode="0.0">
                  <c:v>14.1</c:v>
                </c:pt>
                <c:pt idx="58" formatCode="0.0">
                  <c:v>12.8</c:v>
                </c:pt>
                <c:pt idx="59" formatCode="0.0">
                  <c:v>11.6</c:v>
                </c:pt>
                <c:pt idx="60" formatCode="0.0">
                  <c:v>12.45</c:v>
                </c:pt>
                <c:pt idx="61" formatCode="0.0">
                  <c:v>12.3</c:v>
                </c:pt>
                <c:pt idx="62" formatCode="0.0">
                  <c:v>13.6</c:v>
                </c:pt>
                <c:pt idx="63" formatCode="0.0">
                  <c:v>14.2</c:v>
                </c:pt>
                <c:pt idx="64" formatCode="0.0">
                  <c:v>16.05</c:v>
                </c:pt>
                <c:pt idx="65" formatCode="0.0">
                  <c:v>16.5</c:v>
                </c:pt>
                <c:pt idx="66" formatCode="0.0">
                  <c:v>15.6</c:v>
                </c:pt>
                <c:pt idx="67" formatCode="0.0">
                  <c:v>17.7</c:v>
                </c:pt>
                <c:pt idx="68" formatCode="0.0">
                  <c:v>14.9</c:v>
                </c:pt>
                <c:pt idx="69" formatCode="0.0">
                  <c:v>15.2</c:v>
                </c:pt>
                <c:pt idx="70" formatCode="0.0">
                  <c:v>19.399999999999999</c:v>
                </c:pt>
                <c:pt idx="71" formatCode="0.0">
                  <c:v>17.2</c:v>
                </c:pt>
                <c:pt idx="72" formatCode="0.0">
                  <c:v>15.8</c:v>
                </c:pt>
                <c:pt idx="73" formatCode="0.0">
                  <c:v>16.2</c:v>
                </c:pt>
                <c:pt idx="74" formatCode="0.0">
                  <c:v>5.4</c:v>
                </c:pt>
                <c:pt idx="75" formatCode="General">
                  <c:v>5.7000000000000011</c:v>
                </c:pt>
              </c:numCache>
            </c:numRef>
          </c:yVal>
          <c:smooth val="0"/>
          <c:extLst>
            <c:ext xmlns:c16="http://schemas.microsoft.com/office/drawing/2014/chart" uri="{C3380CC4-5D6E-409C-BE32-E72D297353CC}">
              <c16:uniqueId val="{00000000-B2EC-438E-A55F-E6773CCFE7A1}"/>
            </c:ext>
          </c:extLst>
        </c:ser>
        <c:dLbls>
          <c:showLegendKey val="0"/>
          <c:showVal val="0"/>
          <c:showCatName val="0"/>
          <c:showSerName val="0"/>
          <c:showPercent val="0"/>
          <c:showBubbleSize val="0"/>
        </c:dLbls>
        <c:axId val="547438511"/>
        <c:axId val="365464431"/>
      </c:scatterChart>
      <c:valAx>
        <c:axId val="54743851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365464431"/>
        <c:crosses val="autoZero"/>
        <c:crossBetween val="midCat"/>
      </c:valAx>
      <c:valAx>
        <c:axId val="365464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5474385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[AI_Usage_and_Impact_on_Students_and_Professionals.xlsx]EDA PT!PivotTable31</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'EDA PT'!$O$135</c:f>
              <c:strCache>
                <c:ptCount val="1"/>
                <c:pt idx="0">
                  <c:v>Average of AI_Usage_Hours_Per_Day</c:v>
                </c:pt>
              </c:strCache>
            </c:strRef>
          </c:tx>
          <c:spPr>
            <a:solidFill>
              <a:schemeClr val="accent1"/>
            </a:solidFill>
            <a:ln>
              <a:noFill/>
            </a:ln>
            <a:effectLst/>
          </c:spPr>
          <c:cat>
            <c:strRef>
              <c:f>'EDA PT'!$N$136:$N$138</c:f>
              <c:strCache>
                <c:ptCount val="2"/>
                <c:pt idx="0">
                  <c:v>Professional</c:v>
                </c:pt>
                <c:pt idx="1">
                  <c:v>Student</c:v>
                </c:pt>
              </c:strCache>
            </c:strRef>
          </c:cat>
          <c:val>
            <c:numRef>
              <c:f>'EDA PT'!$O$136:$O$138</c:f>
              <c:numCache>
                <c:formatCode>0.00</c:formatCode>
                <c:ptCount val="2"/>
                <c:pt idx="0">
                  <c:v>2.8711111111111109</c:v>
                </c:pt>
                <c:pt idx="1">
                  <c:v>3.0068493150684925</c:v>
                </c:pt>
              </c:numCache>
            </c:numRef>
          </c:val>
          <c:extLst>
            <c:ext xmlns:c16="http://schemas.microsoft.com/office/drawing/2014/chart" uri="{C3380CC4-5D6E-409C-BE32-E72D297353CC}">
              <c16:uniqueId val="{00000000-50A9-4A3C-A73A-2E8D831B64ED}"/>
            </c:ext>
          </c:extLst>
        </c:ser>
        <c:ser>
          <c:idx val="1"/>
          <c:order val="1"/>
          <c:tx>
            <c:strRef>
              <c:f>'EDA PT'!$P$135</c:f>
              <c:strCache>
                <c:ptCount val="1"/>
                <c:pt idx="0">
                  <c:v>Average of Time_Saved_Hours_Per_Week</c:v>
                </c:pt>
              </c:strCache>
            </c:strRef>
          </c:tx>
          <c:spPr>
            <a:solidFill>
              <a:schemeClr val="accent2"/>
            </a:solidFill>
            <a:ln>
              <a:noFill/>
            </a:ln>
            <a:effectLst/>
          </c:spPr>
          <c:cat>
            <c:strRef>
              <c:f>'EDA PT'!$N$136:$N$138</c:f>
              <c:strCache>
                <c:ptCount val="2"/>
                <c:pt idx="0">
                  <c:v>Professional</c:v>
                </c:pt>
                <c:pt idx="1">
                  <c:v>Student</c:v>
                </c:pt>
              </c:strCache>
            </c:strRef>
          </c:cat>
          <c:val>
            <c:numRef>
              <c:f>'EDA PT'!$P$136:$P$138</c:f>
              <c:numCache>
                <c:formatCode>0.00</c:formatCode>
                <c:ptCount val="2"/>
                <c:pt idx="0">
                  <c:v>5.5538461538461537</c:v>
                </c:pt>
                <c:pt idx="1">
                  <c:v>6.0351351351351346</c:v>
                </c:pt>
              </c:numCache>
            </c:numRef>
          </c:val>
          <c:extLst>
            <c:ext xmlns:c16="http://schemas.microsoft.com/office/drawing/2014/chart" uri="{C3380CC4-5D6E-409C-BE32-E72D297353CC}">
              <c16:uniqueId val="{00000001-50A9-4A3C-A73A-2E8D831B64ED}"/>
            </c:ext>
          </c:extLst>
        </c:ser>
        <c:ser>
          <c:idx val="2"/>
          <c:order val="2"/>
          <c:tx>
            <c:strRef>
              <c:f>'EDA PT'!$Q$135</c:f>
              <c:strCache>
                <c:ptCount val="1"/>
                <c:pt idx="0">
                  <c:v>Average of Work_or_Study_Hours_Per_Day</c:v>
                </c:pt>
              </c:strCache>
            </c:strRef>
          </c:tx>
          <c:spPr>
            <a:solidFill>
              <a:schemeClr val="accent3"/>
            </a:solidFill>
            <a:ln>
              <a:noFill/>
            </a:ln>
            <a:effectLst/>
          </c:spPr>
          <c:cat>
            <c:strRef>
              <c:f>'EDA PT'!$N$136:$N$138</c:f>
              <c:strCache>
                <c:ptCount val="2"/>
                <c:pt idx="0">
                  <c:v>Professional</c:v>
                </c:pt>
                <c:pt idx="1">
                  <c:v>Student</c:v>
                </c:pt>
              </c:strCache>
            </c:strRef>
          </c:cat>
          <c:val>
            <c:numRef>
              <c:f>'EDA PT'!$Q$136:$Q$138</c:f>
              <c:numCache>
                <c:formatCode>0.00</c:formatCode>
                <c:ptCount val="2"/>
                <c:pt idx="0">
                  <c:v>8.3437037037037047</c:v>
                </c:pt>
                <c:pt idx="1">
                  <c:v>6.2312499999999984</c:v>
                </c:pt>
              </c:numCache>
            </c:numRef>
          </c:val>
          <c:extLst>
            <c:ext xmlns:c16="http://schemas.microsoft.com/office/drawing/2014/chart" uri="{C3380CC4-5D6E-409C-BE32-E72D297353CC}">
              <c16:uniqueId val="{00000002-50A9-4A3C-A73A-2E8D831B64ED}"/>
            </c:ext>
          </c:extLst>
        </c:ser>
        <c:dLbls>
          <c:showLegendKey val="0"/>
          <c:showVal val="0"/>
          <c:showCatName val="0"/>
          <c:showSerName val="0"/>
          <c:showPercent val="0"/>
          <c:showBubbleSize val="0"/>
        </c:dLbls>
        <c:axId val="661258415"/>
        <c:axId val="141936655"/>
      </c:areaChart>
      <c:catAx>
        <c:axId val="6612584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141936655"/>
        <c:crosses val="autoZero"/>
        <c:auto val="1"/>
        <c:lblAlgn val="ctr"/>
        <c:lblOffset val="100"/>
        <c:noMultiLvlLbl val="0"/>
      </c:catAx>
      <c:valAx>
        <c:axId val="1419366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661258415"/>
        <c:crosses val="autoZero"/>
        <c:crossBetween val="midCat"/>
      </c:valAx>
      <c:spPr>
        <a:noFill/>
        <a:ln>
          <a:noFill/>
        </a:ln>
        <a:effectLst/>
      </c:spPr>
    </c:plotArea>
    <c:legend>
      <c:legendPos val="r"/>
      <c:layout>
        <c:manualLayout>
          <c:xMode val="edge"/>
          <c:yMode val="edge"/>
          <c:x val="0.72499999999999998"/>
          <c:y val="0.19813502478856809"/>
          <c:w val="0.25833333333333336"/>
          <c:h val="0.603729585885097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[AI_Usage_and_Impact_on_Students_and_Professionals.xlsx]EDA PT!PivotTable22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User</a:t>
            </a:r>
            <a:r>
              <a:rPr lang="en-US" baseline="0"/>
              <a:t> Type Vs Avg Productivity Score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582102116436206E-2"/>
          <c:y val="0.3339740827126218"/>
          <c:w val="0.89873413378158229"/>
          <c:h val="0.41410274432481325"/>
        </c:manualLayout>
      </c:layout>
      <c:barChart>
        <c:barDir val="col"/>
        <c:grouping val="clustered"/>
        <c:varyColors val="0"/>
        <c:ser>
          <c:idx val="0"/>
          <c:order val="0"/>
          <c:tx>
            <c:strRef>
              <c:f>'EDA PT'!$C$91</c:f>
              <c:strCache>
                <c:ptCount val="1"/>
                <c:pt idx="0">
                  <c:v>Total</c:v>
                </c:pt>
              </c:strCache>
            </c:strRef>
          </c:tx>
          <c:spPr>
            <a:solidFill>
              <a:schemeClr val="accent1"/>
            </a:solidFill>
            <a:ln>
              <a:noFill/>
            </a:ln>
            <a:effectLst/>
          </c:spPr>
          <c:invertIfNegative val="0"/>
          <c:cat>
            <c:strRef>
              <c:f>'EDA PT'!$B$92:$B$94</c:f>
              <c:strCache>
                <c:ptCount val="2"/>
                <c:pt idx="0">
                  <c:v>Professional</c:v>
                </c:pt>
                <c:pt idx="1">
                  <c:v>Student</c:v>
                </c:pt>
              </c:strCache>
            </c:strRef>
          </c:cat>
          <c:val>
            <c:numRef>
              <c:f>'EDA PT'!$C$92:$C$94</c:f>
              <c:numCache>
                <c:formatCode>0.00</c:formatCode>
                <c:ptCount val="2"/>
                <c:pt idx="0">
                  <c:v>5.2816793893129752</c:v>
                </c:pt>
                <c:pt idx="1">
                  <c:v>5.1923076923076916</c:v>
                </c:pt>
              </c:numCache>
            </c:numRef>
          </c:val>
          <c:extLst>
            <c:ext xmlns:c16="http://schemas.microsoft.com/office/drawing/2014/chart" uri="{C3380CC4-5D6E-409C-BE32-E72D297353CC}">
              <c16:uniqueId val="{00000000-4CF9-4962-9E0E-A047372F99CB}"/>
            </c:ext>
          </c:extLst>
        </c:ser>
        <c:dLbls>
          <c:showLegendKey val="0"/>
          <c:showVal val="0"/>
          <c:showCatName val="0"/>
          <c:showSerName val="0"/>
          <c:showPercent val="0"/>
          <c:showBubbleSize val="0"/>
        </c:dLbls>
        <c:gapWidth val="219"/>
        <c:overlap val="-27"/>
        <c:axId val="443214399"/>
        <c:axId val="365485551"/>
      </c:barChart>
      <c:catAx>
        <c:axId val="44321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365485551"/>
        <c:crosses val="autoZero"/>
        <c:auto val="1"/>
        <c:lblAlgn val="ctr"/>
        <c:lblOffset val="100"/>
        <c:noMultiLvlLbl val="0"/>
      </c:catAx>
      <c:valAx>
        <c:axId val="36548555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443214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[AI_Usage_and_Impact_on_Students_and_Professionals.xlsx]EDA PT!PivotTable23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AI</a:t>
            </a:r>
            <a:r>
              <a:rPr lang="en-US" baseline="0"/>
              <a:t> tools vs Avg Productivity Score</a:t>
            </a:r>
            <a:endParaRPr lang="en-US"/>
          </a:p>
        </c:rich>
      </c:tx>
      <c:layout>
        <c:manualLayout>
          <c:xMode val="edge"/>
          <c:yMode val="edge"/>
          <c:x val="0.25037527696896722"/>
          <c:y val="9.72190689091089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058030904900552E-2"/>
          <c:y val="0.35037820352356058"/>
          <c:w val="0.88187919761548206"/>
          <c:h val="0.32680937106442265"/>
        </c:manualLayout>
      </c:layout>
      <c:barChart>
        <c:barDir val="col"/>
        <c:grouping val="stacked"/>
        <c:varyColors val="0"/>
        <c:ser>
          <c:idx val="0"/>
          <c:order val="0"/>
          <c:tx>
            <c:strRef>
              <c:f>'EDA PT'!$F$91</c:f>
              <c:strCache>
                <c:ptCount val="1"/>
                <c:pt idx="0">
                  <c:v>Total</c:v>
                </c:pt>
              </c:strCache>
            </c:strRef>
          </c:tx>
          <c:spPr>
            <a:solidFill>
              <a:schemeClr val="accent1"/>
            </a:solidFill>
            <a:ln>
              <a:noFill/>
            </a:ln>
            <a:effectLst/>
          </c:spPr>
          <c:invertIfNegative val="0"/>
          <c:cat>
            <c:strRef>
              <c:f>'EDA PT'!$E$92:$E$101</c:f>
              <c:strCache>
                <c:ptCount val="9"/>
                <c:pt idx="0">
                  <c:v>Chat GPT</c:v>
                </c:pt>
                <c:pt idx="1">
                  <c:v>Claude</c:v>
                </c:pt>
                <c:pt idx="2">
                  <c:v>Copilot</c:v>
                </c:pt>
                <c:pt idx="3">
                  <c:v>DeepSeek</c:v>
                </c:pt>
                <c:pt idx="4">
                  <c:v>Gemini</c:v>
                </c:pt>
                <c:pt idx="5">
                  <c:v>Grammarly</c:v>
                </c:pt>
                <c:pt idx="6">
                  <c:v>Meta AI</c:v>
                </c:pt>
                <c:pt idx="7">
                  <c:v>Perplexity AI</c:v>
                </c:pt>
                <c:pt idx="8">
                  <c:v>(blank)</c:v>
                </c:pt>
              </c:strCache>
            </c:strRef>
          </c:cat>
          <c:val>
            <c:numRef>
              <c:f>'EDA PT'!$F$92:$F$101</c:f>
              <c:numCache>
                <c:formatCode>0.00</c:formatCode>
                <c:ptCount val="9"/>
                <c:pt idx="0">
                  <c:v>5.2318584070796463</c:v>
                </c:pt>
                <c:pt idx="1">
                  <c:v>5.2931034482758621</c:v>
                </c:pt>
                <c:pt idx="2">
                  <c:v>5.5129032258064523</c:v>
                </c:pt>
                <c:pt idx="3">
                  <c:v>5.5333333333333332</c:v>
                </c:pt>
                <c:pt idx="4">
                  <c:v>5.060526315789474</c:v>
                </c:pt>
                <c:pt idx="5">
                  <c:v>5.1142857142857139</c:v>
                </c:pt>
                <c:pt idx="6">
                  <c:v>5.1499999999999995</c:v>
                </c:pt>
                <c:pt idx="7">
                  <c:v>4.6400000000000006</c:v>
                </c:pt>
                <c:pt idx="8">
                  <c:v>6.08</c:v>
                </c:pt>
              </c:numCache>
            </c:numRef>
          </c:val>
          <c:extLst>
            <c:ext xmlns:c16="http://schemas.microsoft.com/office/drawing/2014/chart" uri="{C3380CC4-5D6E-409C-BE32-E72D297353CC}">
              <c16:uniqueId val="{00000000-20D0-462E-8916-D28F04875260}"/>
            </c:ext>
          </c:extLst>
        </c:ser>
        <c:dLbls>
          <c:showLegendKey val="0"/>
          <c:showVal val="0"/>
          <c:showCatName val="0"/>
          <c:showSerName val="0"/>
          <c:showPercent val="0"/>
          <c:showBubbleSize val="0"/>
        </c:dLbls>
        <c:gapWidth val="150"/>
        <c:overlap val="100"/>
        <c:axId val="438857647"/>
        <c:axId val="365472591"/>
      </c:barChart>
      <c:catAx>
        <c:axId val="43885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365472591"/>
        <c:crosses val="autoZero"/>
        <c:auto val="1"/>
        <c:lblAlgn val="ctr"/>
        <c:lblOffset val="100"/>
        <c:noMultiLvlLbl val="0"/>
      </c:catAx>
      <c:valAx>
        <c:axId val="36547259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43885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[AI_Usage_and_Impact_on_Students_and_Professionals.xlsx]EDA PT!PivotTable24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Profession</a:t>
            </a:r>
            <a:r>
              <a:rPr lang="en-US" baseline="0"/>
              <a:t> vs Productivity scores</a:t>
            </a:r>
            <a:endParaRPr lang="en-US"/>
          </a:p>
        </c:rich>
      </c:tx>
      <c:layout>
        <c:manualLayout>
          <c:xMode val="edge"/>
          <c:yMode val="edge"/>
          <c:x val="0.30248584553170565"/>
          <c:y val="8.48932755121449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851148213761065E-2"/>
          <c:y val="0.2724366699977252"/>
          <c:w val="0.90250958281215077"/>
          <c:h val="0.3536728414804472"/>
        </c:manualLayout>
      </c:layout>
      <c:barChart>
        <c:barDir val="col"/>
        <c:grouping val="stacked"/>
        <c:varyColors val="0"/>
        <c:ser>
          <c:idx val="0"/>
          <c:order val="0"/>
          <c:tx>
            <c:strRef>
              <c:f>'EDA PT'!$I$91</c:f>
              <c:strCache>
                <c:ptCount val="1"/>
                <c:pt idx="0">
                  <c:v>Total</c:v>
                </c:pt>
              </c:strCache>
            </c:strRef>
          </c:tx>
          <c:spPr>
            <a:solidFill>
              <a:schemeClr val="accent1"/>
            </a:solidFill>
            <a:ln>
              <a:noFill/>
            </a:ln>
            <a:effectLst/>
          </c:spPr>
          <c:invertIfNegative val="0"/>
          <c:cat>
            <c:strRef>
              <c:f>'EDA PT'!$H$92:$H$113</c:f>
              <c:strCache>
                <c:ptCount val="21"/>
                <c:pt idx="0">
                  <c:v>Administrative Assistant</c:v>
                </c:pt>
                <c:pt idx="1">
                  <c:v>Biology Student</c:v>
                </c:pt>
                <c:pt idx="2">
                  <c:v>Biomedical Engineering Student</c:v>
                </c:pt>
                <c:pt idx="3">
                  <c:v>Business Administration Student</c:v>
                </c:pt>
                <c:pt idx="4">
                  <c:v>Computer Science Student</c:v>
                </c:pt>
                <c:pt idx="5">
                  <c:v>Content Strategy Manager</c:v>
                </c:pt>
                <c:pt idx="6">
                  <c:v>Content Writer</c:v>
                </c:pt>
                <c:pt idx="7">
                  <c:v>Creative Writing Student</c:v>
                </c:pt>
                <c:pt idx="8">
                  <c:v>Customer Support Specialist</c:v>
                </c:pt>
                <c:pt idx="9">
                  <c:v>Data Analyst</c:v>
                </c:pt>
                <c:pt idx="10">
                  <c:v>Data Science Student</c:v>
                </c:pt>
                <c:pt idx="11">
                  <c:v>Digital Marketing Student</c:v>
                </c:pt>
                <c:pt idx="12">
                  <c:v>English Literature Student</c:v>
                </c:pt>
                <c:pt idx="13">
                  <c:v>Environmental Science Student</c:v>
                </c:pt>
                <c:pt idx="14">
                  <c:v>Information Technology Student</c:v>
                </c:pt>
                <c:pt idx="15">
                  <c:v>Junior Software Developer</c:v>
                </c:pt>
                <c:pt idx="16">
                  <c:v>Mechanical Engineering Student</c:v>
                </c:pt>
                <c:pt idx="17">
                  <c:v>Senior Software Engineer</c:v>
                </c:pt>
                <c:pt idx="18">
                  <c:v>Software Developer</c:v>
                </c:pt>
                <c:pt idx="19">
                  <c:v>Software Engineering Student</c:v>
                </c:pt>
                <c:pt idx="20">
                  <c:v>(blank)</c:v>
                </c:pt>
              </c:strCache>
            </c:strRef>
          </c:cat>
          <c:val>
            <c:numRef>
              <c:f>'EDA PT'!$I$92:$I$113</c:f>
              <c:numCache>
                <c:formatCode>General</c:formatCode>
                <c:ptCount val="21"/>
                <c:pt idx="0">
                  <c:v>29.9</c:v>
                </c:pt>
                <c:pt idx="1">
                  <c:v>59.099999999999987</c:v>
                </c:pt>
                <c:pt idx="2">
                  <c:v>16.3</c:v>
                </c:pt>
                <c:pt idx="3">
                  <c:v>32.6</c:v>
                </c:pt>
                <c:pt idx="4">
                  <c:v>90.1</c:v>
                </c:pt>
                <c:pt idx="5">
                  <c:v>15.1</c:v>
                </c:pt>
                <c:pt idx="6">
                  <c:v>40.799999999999997</c:v>
                </c:pt>
                <c:pt idx="7">
                  <c:v>19.100000000000001</c:v>
                </c:pt>
                <c:pt idx="8">
                  <c:v>28.8</c:v>
                </c:pt>
                <c:pt idx="9">
                  <c:v>18.5</c:v>
                </c:pt>
                <c:pt idx="10">
                  <c:v>40.6</c:v>
                </c:pt>
                <c:pt idx="11">
                  <c:v>19.099999999999998</c:v>
                </c:pt>
                <c:pt idx="12">
                  <c:v>135.20000000000002</c:v>
                </c:pt>
                <c:pt idx="13">
                  <c:v>30.5</c:v>
                </c:pt>
                <c:pt idx="14">
                  <c:v>21.2</c:v>
                </c:pt>
                <c:pt idx="15">
                  <c:v>19.8</c:v>
                </c:pt>
                <c:pt idx="16">
                  <c:v>41.8</c:v>
                </c:pt>
                <c:pt idx="17">
                  <c:v>17.5</c:v>
                </c:pt>
                <c:pt idx="18">
                  <c:v>35.1</c:v>
                </c:pt>
                <c:pt idx="19">
                  <c:v>33.099999999999994</c:v>
                </c:pt>
                <c:pt idx="20">
                  <c:v>58.9</c:v>
                </c:pt>
              </c:numCache>
            </c:numRef>
          </c:val>
          <c:extLst>
            <c:ext xmlns:c16="http://schemas.microsoft.com/office/drawing/2014/chart" uri="{C3380CC4-5D6E-409C-BE32-E72D297353CC}">
              <c16:uniqueId val="{00000000-C7B9-4A0A-A9C1-029181A0605A}"/>
            </c:ext>
          </c:extLst>
        </c:ser>
        <c:dLbls>
          <c:showLegendKey val="0"/>
          <c:showVal val="0"/>
          <c:showCatName val="0"/>
          <c:showSerName val="0"/>
          <c:showPercent val="0"/>
          <c:showBubbleSize val="0"/>
        </c:dLbls>
        <c:gapWidth val="150"/>
        <c:overlap val="100"/>
        <c:axId val="443217183"/>
        <c:axId val="365447631"/>
      </c:barChart>
      <c:catAx>
        <c:axId val="44321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365447631"/>
        <c:crosses val="autoZero"/>
        <c:auto val="1"/>
        <c:lblAlgn val="ctr"/>
        <c:lblOffset val="100"/>
        <c:noMultiLvlLbl val="0"/>
      </c:catAx>
      <c:valAx>
        <c:axId val="365447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443217183"/>
        <c:crosses val="autoZero"/>
        <c:crossBetween val="between"/>
      </c:valAx>
      <c:spPr>
        <a:noFill/>
        <a:ln w="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Usage</a:t>
            </a:r>
            <a:r>
              <a:rPr lang="en-US" baseline="0"/>
              <a:t> hour vs </a:t>
            </a:r>
            <a:r>
              <a:rPr lang="en-US"/>
              <a:t>Productivity_Score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G"/>
        </a:p>
      </c:txPr>
    </c:title>
    <c:autoTitleDeleted val="0"/>
    <c:plotArea>
      <c:layout>
        <c:manualLayout>
          <c:layoutTarget val="inner"/>
          <c:xMode val="edge"/>
          <c:yMode val="edge"/>
          <c:x val="8.0899432580980354E-2"/>
          <c:y val="0.18127451102562231"/>
          <c:w val="0.88956985238826181"/>
          <c:h val="0.72775693963545218"/>
        </c:manualLayout>
      </c:layout>
      <c:scatterChart>
        <c:scatterStyle val="lineMarker"/>
        <c:varyColors val="0"/>
        <c:ser>
          <c:idx val="0"/>
          <c:order val="0"/>
          <c:tx>
            <c:strRef>
              <c:f>AI_Usage_and_Impact_on_Students!$AL$1</c:f>
              <c:strCache>
                <c:ptCount val="1"/>
                <c:pt idx="0">
                  <c:v>Sum of Productivity_Score</c:v>
                </c:pt>
              </c:strCache>
            </c:strRef>
          </c:tx>
          <c:spPr>
            <a:ln w="38100" cap="rnd">
              <a:noFill/>
              <a:round/>
            </a:ln>
            <a:effectLst/>
          </c:spPr>
          <c:marker>
            <c:symbol val="circle"/>
            <c:size val="5"/>
            <c:spPr>
              <a:solidFill>
                <a:schemeClr val="accent1"/>
              </a:solidFill>
              <a:ln w="9525">
                <a:solidFill>
                  <a:schemeClr val="accent1"/>
                </a:solidFill>
              </a:ln>
              <a:effectLst/>
            </c:spPr>
          </c:marker>
          <c:xVal>
            <c:strRef>
              <c:f>AI_Usage_and_Impact_on_Students!$AK$2:$AK$29</c:f>
              <c:strCache>
                <c:ptCount val="28"/>
                <c:pt idx="0">
                  <c:v>0.6</c:v>
                </c:pt>
                <c:pt idx="1">
                  <c:v>0.7</c:v>
                </c:pt>
                <c:pt idx="2">
                  <c:v>0.9</c:v>
                </c:pt>
                <c:pt idx="3">
                  <c:v>1</c:v>
                </c:pt>
                <c:pt idx="4">
                  <c:v>1.2</c:v>
                </c:pt>
                <c:pt idx="5">
                  <c:v>1.3</c:v>
                </c:pt>
                <c:pt idx="6">
                  <c:v>1.4</c:v>
                </c:pt>
                <c:pt idx="7">
                  <c:v>1.5</c:v>
                </c:pt>
                <c:pt idx="8">
                  <c:v>1.6</c:v>
                </c:pt>
                <c:pt idx="9">
                  <c:v>1.7</c:v>
                </c:pt>
                <c:pt idx="10">
                  <c:v>1.9</c:v>
                </c:pt>
                <c:pt idx="11">
                  <c:v>2</c:v>
                </c:pt>
                <c:pt idx="12">
                  <c:v>2.2</c:v>
                </c:pt>
                <c:pt idx="13">
                  <c:v>2.3</c:v>
                </c:pt>
                <c:pt idx="14">
                  <c:v>2.8</c:v>
                </c:pt>
                <c:pt idx="15">
                  <c:v>2.9</c:v>
                </c:pt>
                <c:pt idx="16">
                  <c:v>3.3</c:v>
                </c:pt>
                <c:pt idx="17">
                  <c:v>3.4</c:v>
                </c:pt>
                <c:pt idx="18">
                  <c:v>3.7</c:v>
                </c:pt>
                <c:pt idx="19">
                  <c:v>3.9</c:v>
                </c:pt>
                <c:pt idx="20">
                  <c:v>4.1</c:v>
                </c:pt>
                <c:pt idx="21">
                  <c:v>4.4</c:v>
                </c:pt>
                <c:pt idx="22">
                  <c:v>4.9</c:v>
                </c:pt>
                <c:pt idx="23">
                  <c:v>5</c:v>
                </c:pt>
                <c:pt idx="24">
                  <c:v>5.4</c:v>
                </c:pt>
                <c:pt idx="25">
                  <c:v>5.5</c:v>
                </c:pt>
                <c:pt idx="26">
                  <c:v>5.7</c:v>
                </c:pt>
                <c:pt idx="27">
                  <c:v>(blank)</c:v>
                </c:pt>
              </c:strCache>
            </c:strRef>
          </c:xVal>
          <c:yVal>
            <c:numRef>
              <c:f>AI_Usage_and_Impact_on_Students!$AL$2:$AL$29</c:f>
              <c:numCache>
                <c:formatCode>General</c:formatCode>
                <c:ptCount val="28"/>
                <c:pt idx="0">
                  <c:v>39.1</c:v>
                </c:pt>
                <c:pt idx="1">
                  <c:v>48.199999999999996</c:v>
                </c:pt>
                <c:pt idx="2">
                  <c:v>31.399999999999991</c:v>
                </c:pt>
                <c:pt idx="3">
                  <c:v>22.400000000000002</c:v>
                </c:pt>
                <c:pt idx="4">
                  <c:v>36.9</c:v>
                </c:pt>
                <c:pt idx="5">
                  <c:v>34.1</c:v>
                </c:pt>
                <c:pt idx="6">
                  <c:v>23.599999999999998</c:v>
                </c:pt>
                <c:pt idx="7">
                  <c:v>49.5</c:v>
                </c:pt>
                <c:pt idx="8">
                  <c:v>51.800000000000004</c:v>
                </c:pt>
                <c:pt idx="9">
                  <c:v>56.3</c:v>
                </c:pt>
                <c:pt idx="10">
                  <c:v>46.5</c:v>
                </c:pt>
                <c:pt idx="11">
                  <c:v>40.900000000000006</c:v>
                </c:pt>
                <c:pt idx="12">
                  <c:v>25.6</c:v>
                </c:pt>
                <c:pt idx="13">
                  <c:v>28.299999999999997</c:v>
                </c:pt>
                <c:pt idx="14">
                  <c:v>30.299999999999997</c:v>
                </c:pt>
                <c:pt idx="15">
                  <c:v>26.200000000000003</c:v>
                </c:pt>
                <c:pt idx="16">
                  <c:v>26.7</c:v>
                </c:pt>
                <c:pt idx="17">
                  <c:v>33.400000000000006</c:v>
                </c:pt>
                <c:pt idx="18">
                  <c:v>25.9</c:v>
                </c:pt>
                <c:pt idx="19">
                  <c:v>34.1</c:v>
                </c:pt>
                <c:pt idx="20">
                  <c:v>29.099999999999998</c:v>
                </c:pt>
                <c:pt idx="21">
                  <c:v>27</c:v>
                </c:pt>
                <c:pt idx="22">
                  <c:v>31.000000000000004</c:v>
                </c:pt>
                <c:pt idx="23">
                  <c:v>27.5</c:v>
                </c:pt>
                <c:pt idx="24">
                  <c:v>24.6</c:v>
                </c:pt>
                <c:pt idx="25">
                  <c:v>23.7</c:v>
                </c:pt>
                <c:pt idx="26">
                  <c:v>22.5</c:v>
                </c:pt>
                <c:pt idx="27">
                  <c:v>39.599999999999994</c:v>
                </c:pt>
              </c:numCache>
            </c:numRef>
          </c:yVal>
          <c:smooth val="0"/>
          <c:extLst>
            <c:ext xmlns:c16="http://schemas.microsoft.com/office/drawing/2014/chart" uri="{C3380CC4-5D6E-409C-BE32-E72D297353CC}">
              <c16:uniqueId val="{00000000-07CC-407F-A7E4-5C78BC4D7E28}"/>
            </c:ext>
          </c:extLst>
        </c:ser>
        <c:dLbls>
          <c:showLegendKey val="0"/>
          <c:showVal val="0"/>
          <c:showCatName val="0"/>
          <c:showSerName val="0"/>
          <c:showPercent val="0"/>
          <c:showBubbleSize val="0"/>
        </c:dLbls>
        <c:axId val="363256399"/>
        <c:axId val="365479791"/>
      </c:scatterChart>
      <c:valAx>
        <c:axId val="363256399"/>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365479791"/>
        <c:crosses val="autoZero"/>
        <c:crossBetween val="midCat"/>
      </c:valAx>
      <c:valAx>
        <c:axId val="365479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3632563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[AI_Usage_and_Impact_on_Students_and_Professionals.xlsx]EDA PT!PivotTable16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AI</a:t>
            </a:r>
            <a:r>
              <a:rPr lang="en-US" baseline="0"/>
              <a:t> tool vs No of Users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'EDA PT'!$B$42</c:f>
              <c:strCache>
                <c:ptCount val="1"/>
                <c:pt idx="0">
                  <c:v>Total</c:v>
                </c:pt>
              </c:strCache>
            </c:strRef>
          </c:tx>
          <c:spPr>
            <a:solidFill>
              <a:schemeClr val="accent1"/>
            </a:solidFill>
            <a:ln>
              <a:noFill/>
            </a:ln>
            <a:effectLst/>
          </c:spPr>
          <c:invertIfNegative val="0"/>
          <c:cat>
            <c:strRef>
              <c:f>'EDA PT'!$A$43:$A$52</c:f>
              <c:strCache>
                <c:ptCount val="9"/>
                <c:pt idx="0">
                  <c:v>Chat GPT</c:v>
                </c:pt>
                <c:pt idx="1">
                  <c:v>Claude</c:v>
                </c:pt>
                <c:pt idx="2">
                  <c:v>Copilot</c:v>
                </c:pt>
                <c:pt idx="3">
                  <c:v>DeepSeek</c:v>
                </c:pt>
                <c:pt idx="4">
                  <c:v>Gemini</c:v>
                </c:pt>
                <c:pt idx="5">
                  <c:v>Grammarly</c:v>
                </c:pt>
                <c:pt idx="6">
                  <c:v>Meta AI</c:v>
                </c:pt>
                <c:pt idx="7">
                  <c:v>Perplexity AI</c:v>
                </c:pt>
                <c:pt idx="8">
                  <c:v>(blank)</c:v>
                </c:pt>
              </c:strCache>
            </c:strRef>
          </c:cat>
          <c:val>
            <c:numRef>
              <c:f>'EDA PT'!$B$43:$B$52</c:f>
              <c:numCache>
                <c:formatCode>General</c:formatCode>
                <c:ptCount val="9"/>
                <c:pt idx="0">
                  <c:v>119</c:v>
                </c:pt>
                <c:pt idx="1">
                  <c:v>31</c:v>
                </c:pt>
                <c:pt idx="2">
                  <c:v>33</c:v>
                </c:pt>
                <c:pt idx="3">
                  <c:v>9</c:v>
                </c:pt>
                <c:pt idx="4">
                  <c:v>39</c:v>
                </c:pt>
                <c:pt idx="5">
                  <c:v>14</c:v>
                </c:pt>
                <c:pt idx="6">
                  <c:v>10</c:v>
                </c:pt>
                <c:pt idx="7">
                  <c:v>23</c:v>
                </c:pt>
                <c:pt idx="8">
                  <c:v>10</c:v>
                </c:pt>
              </c:numCache>
            </c:numRef>
          </c:val>
          <c:extLst>
            <c:ext xmlns:c16="http://schemas.microsoft.com/office/drawing/2014/chart" uri="{C3380CC4-5D6E-409C-BE32-E72D297353CC}">
              <c16:uniqueId val="{00000000-F9A2-4123-85F7-EC752B07BA26}"/>
            </c:ext>
          </c:extLst>
        </c:ser>
        <c:dLbls>
          <c:showLegendKey val="0"/>
          <c:showVal val="0"/>
          <c:showCatName val="0"/>
          <c:showSerName val="0"/>
          <c:showPercent val="0"/>
          <c:showBubbleSize val="0"/>
        </c:dLbls>
        <c:gapWidth val="150"/>
        <c:overlap val="100"/>
        <c:axId val="278895039"/>
        <c:axId val="365432271"/>
      </c:barChart>
      <c:catAx>
        <c:axId val="27889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365432271"/>
        <c:crosses val="autoZero"/>
        <c:auto val="1"/>
        <c:lblAlgn val="ctr"/>
        <c:lblOffset val="100"/>
        <c:noMultiLvlLbl val="0"/>
      </c:catAx>
      <c:valAx>
        <c:axId val="36543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278895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[AI_Usage_and_Impact_on_Students_and_Professionals.xlsx]EDA PT!PivotTable17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User</a:t>
            </a:r>
            <a:r>
              <a:rPr lang="en-US" baseline="0"/>
              <a:t> Type vs AI usage hrs/dy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PT'!$E$42</c:f>
              <c:strCache>
                <c:ptCount val="1"/>
                <c:pt idx="0">
                  <c:v>Total</c:v>
                </c:pt>
              </c:strCache>
            </c:strRef>
          </c:tx>
          <c:spPr>
            <a:solidFill>
              <a:schemeClr val="accent1"/>
            </a:solidFill>
            <a:ln>
              <a:noFill/>
            </a:ln>
            <a:effectLst/>
          </c:spPr>
          <c:invertIfNegative val="0"/>
          <c:cat>
            <c:strRef>
              <c:f>'EDA PT'!$D$43:$D$45</c:f>
              <c:strCache>
                <c:ptCount val="2"/>
                <c:pt idx="0">
                  <c:v>Professional</c:v>
                </c:pt>
                <c:pt idx="1">
                  <c:v>Student</c:v>
                </c:pt>
              </c:strCache>
            </c:strRef>
          </c:cat>
          <c:val>
            <c:numRef>
              <c:f>'EDA PT'!$E$43:$E$45</c:f>
              <c:numCache>
                <c:formatCode>General</c:formatCode>
                <c:ptCount val="2"/>
                <c:pt idx="0">
                  <c:v>387.59999999999997</c:v>
                </c:pt>
                <c:pt idx="1">
                  <c:v>438.99999999999989</c:v>
                </c:pt>
              </c:numCache>
            </c:numRef>
          </c:val>
          <c:extLst>
            <c:ext xmlns:c16="http://schemas.microsoft.com/office/drawing/2014/chart" uri="{C3380CC4-5D6E-409C-BE32-E72D297353CC}">
              <c16:uniqueId val="{00000000-9037-473F-8463-D5FD6B498C44}"/>
            </c:ext>
          </c:extLst>
        </c:ser>
        <c:dLbls>
          <c:showLegendKey val="0"/>
          <c:showVal val="0"/>
          <c:showCatName val="0"/>
          <c:showSerName val="0"/>
          <c:showPercent val="0"/>
          <c:showBubbleSize val="0"/>
        </c:dLbls>
        <c:gapWidth val="219"/>
        <c:overlap val="-27"/>
        <c:axId val="445124575"/>
        <c:axId val="365500911"/>
      </c:barChart>
      <c:catAx>
        <c:axId val="4451245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365500911"/>
        <c:crosses val="autoZero"/>
        <c:auto val="1"/>
        <c:lblAlgn val="ctr"/>
        <c:lblOffset val="100"/>
        <c:noMultiLvlLbl val="0"/>
      </c:catAx>
      <c:valAx>
        <c:axId val="36550091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445124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[AI_Usage_and_Impact_on_Students_and_Professionals.xlsx]EDA PT!PivotTable18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Profession</a:t>
            </a:r>
            <a:r>
              <a:rPr lang="en-US" baseline="0"/>
              <a:t> vs </a:t>
            </a:r>
            <a:r>
              <a:rPr lang="en-US" sz="1100" b="0" i="0" u="none" strike="noStrike" kern="1200" spc="0" baseline="0">
                <a:solidFill>
                  <a:sysClr val="windowText" lastClr="000000">
                    <a:lumMod val="65000"/>
                    <a:lumOff val="35000"/>
                  </a:sysClr>
                </a:solidFill>
              </a:rPr>
              <a:t>AI usage hrs/dy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 PT'!$H$42</c:f>
              <c:strCache>
                <c:ptCount val="1"/>
                <c:pt idx="0">
                  <c:v>Total</c:v>
                </c:pt>
              </c:strCache>
            </c:strRef>
          </c:tx>
          <c:spPr>
            <a:solidFill>
              <a:schemeClr val="accent1"/>
            </a:solidFill>
            <a:ln>
              <a:noFill/>
            </a:ln>
            <a:effectLst/>
          </c:spPr>
          <c:invertIfNegative val="0"/>
          <c:cat>
            <c:strRef>
              <c:f>'EDA PT'!$G$43:$G$63</c:f>
              <c:strCache>
                <c:ptCount val="20"/>
                <c:pt idx="0">
                  <c:v>Administrative Assistant</c:v>
                </c:pt>
                <c:pt idx="1">
                  <c:v>AI Customer Support Specialist</c:v>
                </c:pt>
                <c:pt idx="2">
                  <c:v>Biology Student</c:v>
                </c:pt>
                <c:pt idx="3">
                  <c:v>Business Administration Student</c:v>
                </c:pt>
                <c:pt idx="4">
                  <c:v>Computer Science Student</c:v>
                </c:pt>
                <c:pt idx="5">
                  <c:v>Content Strategy Manager</c:v>
                </c:pt>
                <c:pt idx="6">
                  <c:v>Content Writer</c:v>
                </c:pt>
                <c:pt idx="7">
                  <c:v>Creative Writing Student</c:v>
                </c:pt>
                <c:pt idx="8">
                  <c:v>Customer Support Specialist</c:v>
                </c:pt>
                <c:pt idx="9">
                  <c:v>Data Analyst</c:v>
                </c:pt>
                <c:pt idx="10">
                  <c:v>Data Science Student</c:v>
                </c:pt>
                <c:pt idx="11">
                  <c:v>Digital Media Student</c:v>
                </c:pt>
                <c:pt idx="12">
                  <c:v>Engineering Student</c:v>
                </c:pt>
                <c:pt idx="13">
                  <c:v>English Literature Student</c:v>
                </c:pt>
                <c:pt idx="14">
                  <c:v>Environmental Science Student</c:v>
                </c:pt>
                <c:pt idx="15">
                  <c:v>Mechanical Engineering Student</c:v>
                </c:pt>
                <c:pt idx="16">
                  <c:v>Research Technician</c:v>
                </c:pt>
                <c:pt idx="17">
                  <c:v>Software Developer</c:v>
                </c:pt>
                <c:pt idx="18">
                  <c:v>Software Engineering Student</c:v>
                </c:pt>
                <c:pt idx="19">
                  <c:v>(blank)</c:v>
                </c:pt>
              </c:strCache>
            </c:strRef>
          </c:cat>
          <c:val>
            <c:numRef>
              <c:f>'EDA PT'!$H$43:$H$63</c:f>
              <c:numCache>
                <c:formatCode>General</c:formatCode>
                <c:ptCount val="20"/>
                <c:pt idx="0">
                  <c:v>23.7</c:v>
                </c:pt>
                <c:pt idx="1">
                  <c:v>10.4</c:v>
                </c:pt>
                <c:pt idx="2">
                  <c:v>37.099999999999994</c:v>
                </c:pt>
                <c:pt idx="3">
                  <c:v>20.099999999999998</c:v>
                </c:pt>
                <c:pt idx="4">
                  <c:v>46</c:v>
                </c:pt>
                <c:pt idx="5">
                  <c:v>13.3</c:v>
                </c:pt>
                <c:pt idx="6">
                  <c:v>27.5</c:v>
                </c:pt>
                <c:pt idx="7">
                  <c:v>13.100000000000001</c:v>
                </c:pt>
                <c:pt idx="8">
                  <c:v>21.2</c:v>
                </c:pt>
                <c:pt idx="9">
                  <c:v>11.2</c:v>
                </c:pt>
                <c:pt idx="10">
                  <c:v>24.9</c:v>
                </c:pt>
                <c:pt idx="11">
                  <c:v>13.100000000000001</c:v>
                </c:pt>
                <c:pt idx="12">
                  <c:v>11.3</c:v>
                </c:pt>
                <c:pt idx="13">
                  <c:v>85.2</c:v>
                </c:pt>
                <c:pt idx="14">
                  <c:v>19.2</c:v>
                </c:pt>
                <c:pt idx="15">
                  <c:v>25.499999999999996</c:v>
                </c:pt>
                <c:pt idx="16">
                  <c:v>25.7</c:v>
                </c:pt>
                <c:pt idx="17">
                  <c:v>14.399999999999999</c:v>
                </c:pt>
                <c:pt idx="18">
                  <c:v>19.5</c:v>
                </c:pt>
                <c:pt idx="19">
                  <c:v>39.6</c:v>
                </c:pt>
              </c:numCache>
            </c:numRef>
          </c:val>
          <c:extLst>
            <c:ext xmlns:c16="http://schemas.microsoft.com/office/drawing/2014/chart" uri="{C3380CC4-5D6E-409C-BE32-E72D297353CC}">
              <c16:uniqueId val="{00000000-4D27-4F1C-979C-E72D2CEB37E3}"/>
            </c:ext>
          </c:extLst>
        </c:ser>
        <c:dLbls>
          <c:showLegendKey val="0"/>
          <c:showVal val="0"/>
          <c:showCatName val="0"/>
          <c:showSerName val="0"/>
          <c:showPercent val="0"/>
          <c:showBubbleSize val="0"/>
        </c:dLbls>
        <c:gapWidth val="182"/>
        <c:axId val="363257327"/>
        <c:axId val="365435151"/>
      </c:barChart>
      <c:catAx>
        <c:axId val="363257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365435151"/>
        <c:crosses val="autoZero"/>
        <c:auto val="1"/>
        <c:lblAlgn val="ctr"/>
        <c:lblOffset val="100"/>
        <c:noMultiLvlLbl val="0"/>
      </c:catAx>
      <c:valAx>
        <c:axId val="3654351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363257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[AI_Usage_and_Impact_on_Students_and_Professionals.xlsx]EDA PT!PivotTable19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a:t>
            </a:r>
            <a:r>
              <a:rPr lang="en-US" baseline="0"/>
              <a:t> vs </a:t>
            </a:r>
            <a:r>
              <a:rPr lang="en-US" sz="1100" b="0" i="0" u="none" strike="noStrike" kern="1200" spc="0" baseline="0">
                <a:solidFill>
                  <a:sysClr val="windowText" lastClr="000000">
                    <a:lumMod val="65000"/>
                    <a:lumOff val="35000"/>
                  </a:sysClr>
                </a:solidFill>
              </a:rPr>
              <a:t>AI usage hrs/dy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'EDA PT'!$K$42</c:f>
              <c:strCache>
                <c:ptCount val="1"/>
                <c:pt idx="0">
                  <c:v>Total</c:v>
                </c:pt>
              </c:strCache>
            </c:strRef>
          </c:tx>
          <c:spPr>
            <a:solidFill>
              <a:schemeClr val="accent1"/>
            </a:solidFill>
            <a:ln>
              <a:noFill/>
            </a:ln>
            <a:effectLst/>
          </c:spPr>
          <c:invertIfNegative val="0"/>
          <c:cat>
            <c:strRef>
              <c:f>'EDA PT'!$J$43:$J$56</c:f>
              <c:strCache>
                <c:ptCount val="13"/>
                <c:pt idx="0">
                  <c:v>Australia</c:v>
                </c:pt>
                <c:pt idx="1">
                  <c:v>Brazil</c:v>
                </c:pt>
                <c:pt idx="2">
                  <c:v>Canada</c:v>
                </c:pt>
                <c:pt idx="3">
                  <c:v>France</c:v>
                </c:pt>
                <c:pt idx="4">
                  <c:v>Germany</c:v>
                </c:pt>
                <c:pt idx="5">
                  <c:v>India</c:v>
                </c:pt>
                <c:pt idx="6">
                  <c:v>Kenya</c:v>
                </c:pt>
                <c:pt idx="7">
                  <c:v>Nigeria</c:v>
                </c:pt>
                <c:pt idx="8">
                  <c:v>Pakistan</c:v>
                </c:pt>
                <c:pt idx="9">
                  <c:v>Philippines</c:v>
                </c:pt>
                <c:pt idx="10">
                  <c:v>United Kingdom</c:v>
                </c:pt>
                <c:pt idx="11">
                  <c:v>United States</c:v>
                </c:pt>
              </c:strCache>
            </c:strRef>
          </c:cat>
          <c:val>
            <c:numRef>
              <c:f>'EDA PT'!$K$43:$K$56</c:f>
              <c:numCache>
                <c:formatCode>General</c:formatCode>
                <c:ptCount val="13"/>
                <c:pt idx="0">
                  <c:v>62.400000000000006</c:v>
                </c:pt>
                <c:pt idx="1">
                  <c:v>50.8</c:v>
                </c:pt>
                <c:pt idx="2">
                  <c:v>112.70000000000003</c:v>
                </c:pt>
                <c:pt idx="3">
                  <c:v>29</c:v>
                </c:pt>
                <c:pt idx="4">
                  <c:v>28.099999999999998</c:v>
                </c:pt>
                <c:pt idx="5">
                  <c:v>109.4</c:v>
                </c:pt>
                <c:pt idx="6">
                  <c:v>30.200000000000003</c:v>
                </c:pt>
                <c:pt idx="7">
                  <c:v>67.5</c:v>
                </c:pt>
                <c:pt idx="8">
                  <c:v>91.499999999999972</c:v>
                </c:pt>
                <c:pt idx="9">
                  <c:v>62.999999999999986</c:v>
                </c:pt>
                <c:pt idx="10">
                  <c:v>54.4</c:v>
                </c:pt>
                <c:pt idx="11">
                  <c:v>103.39999999999999</c:v>
                </c:pt>
                <c:pt idx="12">
                  <c:v>24.200000000000003</c:v>
                </c:pt>
              </c:numCache>
            </c:numRef>
          </c:val>
          <c:extLst>
            <c:ext xmlns:c16="http://schemas.microsoft.com/office/drawing/2014/chart" uri="{C3380CC4-5D6E-409C-BE32-E72D297353CC}">
              <c16:uniqueId val="{00000000-3BDC-4171-A6A3-06A591F3E7A2}"/>
            </c:ext>
          </c:extLst>
        </c:ser>
        <c:dLbls>
          <c:showLegendKey val="0"/>
          <c:showVal val="0"/>
          <c:showCatName val="0"/>
          <c:showSerName val="0"/>
          <c:showPercent val="0"/>
          <c:showBubbleSize val="0"/>
        </c:dLbls>
        <c:gapWidth val="150"/>
        <c:overlap val="100"/>
        <c:axId val="487708351"/>
        <c:axId val="365466831"/>
      </c:barChart>
      <c:catAx>
        <c:axId val="487708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365466831"/>
        <c:crosses val="autoZero"/>
        <c:auto val="1"/>
        <c:lblAlgn val="ctr"/>
        <c:lblOffset val="100"/>
        <c:noMultiLvlLbl val="0"/>
      </c:catAx>
      <c:valAx>
        <c:axId val="365466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487708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[AI_Usage_and_Impact_on_Students_and_Professionals.xlsx]EDA PT!PivotTable20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AI</a:t>
            </a:r>
            <a:r>
              <a:rPr lang="en-US" baseline="0"/>
              <a:t> purpose vs </a:t>
            </a:r>
            <a:r>
              <a:rPr lang="en-US" sz="1100" b="0" i="0" u="none" strike="noStrike" kern="1200" spc="0" baseline="0">
                <a:solidFill>
                  <a:sysClr val="windowText" lastClr="000000">
                    <a:lumMod val="65000"/>
                    <a:lumOff val="35000"/>
                  </a:sysClr>
                </a:solidFill>
              </a:rPr>
              <a:t>AI usage hrs/dy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'EDA PT'!$N$42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C59-495C-815F-A54A79113C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C59-495C-815F-A54A79113CD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C59-495C-815F-A54A79113CD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C59-495C-815F-A54A79113CD5}"/>
              </c:ext>
            </c:extLst>
          </c:dPt>
          <c:cat>
            <c:strRef>
              <c:f>'EDA PT'!$M$43:$M$47</c:f>
              <c:strCache>
                <c:ptCount val="4"/>
                <c:pt idx="0">
                  <c:v>Coding</c:v>
                </c:pt>
                <c:pt idx="1">
                  <c:v>Research</c:v>
                </c:pt>
                <c:pt idx="2">
                  <c:v>Studying</c:v>
                </c:pt>
                <c:pt idx="3">
                  <c:v>Writing</c:v>
                </c:pt>
              </c:strCache>
            </c:strRef>
          </c:cat>
          <c:val>
            <c:numRef>
              <c:f>'EDA PT'!$N$43:$N$47</c:f>
              <c:numCache>
                <c:formatCode>General</c:formatCode>
                <c:ptCount val="4"/>
                <c:pt idx="0">
                  <c:v>167.00000000000003</c:v>
                </c:pt>
                <c:pt idx="1">
                  <c:v>138.69999999999999</c:v>
                </c:pt>
                <c:pt idx="2">
                  <c:v>102.00000000000003</c:v>
                </c:pt>
                <c:pt idx="3">
                  <c:v>154.80000000000001</c:v>
                </c:pt>
              </c:numCache>
            </c:numRef>
          </c:val>
          <c:extLst>
            <c:ext xmlns:c16="http://schemas.microsoft.com/office/drawing/2014/chart" uri="{C3380CC4-5D6E-409C-BE32-E72D297353CC}">
              <c16:uniqueId val="{00000008-6C59-495C-815F-A54A79113CD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[AI_Usage_and_Impact_on_Students_and_Professionals.xlsx]EDA PT!PivotTable5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'EDA PT'!$B$3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04E-4298-8747-FE6C5F4757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4E-4298-8747-FE6C5F4757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04E-4298-8747-FE6C5F47577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04E-4298-8747-FE6C5F47577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04E-4298-8747-FE6C5F47577D}"/>
              </c:ext>
            </c:extLst>
          </c:dPt>
          <c:cat>
            <c:strRef>
              <c:f>'EDA PT'!$A$4:$A$7</c:f>
              <c:strCache>
                <c:ptCount val="3"/>
                <c:pt idx="1">
                  <c:v>Female</c:v>
                </c:pt>
                <c:pt idx="2">
                  <c:v>Male</c:v>
                </c:pt>
              </c:strCache>
            </c:strRef>
          </c:cat>
          <c:val>
            <c:numRef>
              <c:f>'EDA PT'!$B$4:$B$7</c:f>
              <c:numCache>
                <c:formatCode>General</c:formatCode>
                <c:ptCount val="3"/>
                <c:pt idx="0">
                  <c:v>9</c:v>
                </c:pt>
                <c:pt idx="1">
                  <c:v>119</c:v>
                </c:pt>
                <c:pt idx="2">
                  <c:v>145</c:v>
                </c:pt>
              </c:numCache>
            </c:numRef>
          </c:val>
          <c:extLst>
            <c:ext xmlns:c16="http://schemas.microsoft.com/office/drawing/2014/chart" uri="{C3380CC4-5D6E-409C-BE32-E72D297353CC}">
              <c16:uniqueId val="{0000000A-704E-4298-8747-FE6C5F47577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[AI_Usage_and_Impact_on_Students_and_Professionals.xlsx]EDA PT!PivotTable7</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PT'!$E$3</c:f>
              <c:strCache>
                <c:ptCount val="1"/>
                <c:pt idx="0">
                  <c:v>Total</c:v>
                </c:pt>
              </c:strCache>
            </c:strRef>
          </c:tx>
          <c:spPr>
            <a:solidFill>
              <a:schemeClr val="accent1"/>
            </a:solidFill>
            <a:ln>
              <a:noFill/>
            </a:ln>
            <a:effectLst/>
          </c:spPr>
          <c:invertIfNegative val="0"/>
          <c:cat>
            <c:strRef>
              <c:f>'EDA PT'!$D$4:$D$17</c:f>
              <c:strCache>
                <c:ptCount val="13"/>
                <c:pt idx="0">
                  <c:v>Australia</c:v>
                </c:pt>
                <c:pt idx="1">
                  <c:v>Brazil</c:v>
                </c:pt>
                <c:pt idx="2">
                  <c:v>Canada</c:v>
                </c:pt>
                <c:pt idx="3">
                  <c:v>France</c:v>
                </c:pt>
                <c:pt idx="4">
                  <c:v>Germany</c:v>
                </c:pt>
                <c:pt idx="5">
                  <c:v>India</c:v>
                </c:pt>
                <c:pt idx="6">
                  <c:v>Kenya</c:v>
                </c:pt>
                <c:pt idx="7">
                  <c:v>Nigeria</c:v>
                </c:pt>
                <c:pt idx="8">
                  <c:v>Pakistan</c:v>
                </c:pt>
                <c:pt idx="9">
                  <c:v>Philippines</c:v>
                </c:pt>
                <c:pt idx="10">
                  <c:v>United Kingdom</c:v>
                </c:pt>
                <c:pt idx="11">
                  <c:v>United States</c:v>
                </c:pt>
              </c:strCache>
            </c:strRef>
          </c:cat>
          <c:val>
            <c:numRef>
              <c:f>'EDA PT'!$E$4:$E$17</c:f>
              <c:numCache>
                <c:formatCode>General</c:formatCode>
                <c:ptCount val="13"/>
                <c:pt idx="0">
                  <c:v>20</c:v>
                </c:pt>
                <c:pt idx="1">
                  <c:v>26</c:v>
                </c:pt>
                <c:pt idx="2">
                  <c:v>31</c:v>
                </c:pt>
                <c:pt idx="3">
                  <c:v>10</c:v>
                </c:pt>
                <c:pt idx="4">
                  <c:v>13</c:v>
                </c:pt>
                <c:pt idx="5">
                  <c:v>43</c:v>
                </c:pt>
                <c:pt idx="6">
                  <c:v>6</c:v>
                </c:pt>
                <c:pt idx="7">
                  <c:v>17</c:v>
                </c:pt>
                <c:pt idx="8">
                  <c:v>28</c:v>
                </c:pt>
                <c:pt idx="9">
                  <c:v>24</c:v>
                </c:pt>
                <c:pt idx="10">
                  <c:v>26</c:v>
                </c:pt>
                <c:pt idx="11">
                  <c:v>34</c:v>
                </c:pt>
                <c:pt idx="12">
                  <c:v>10</c:v>
                </c:pt>
              </c:numCache>
            </c:numRef>
          </c:val>
          <c:extLst>
            <c:ext xmlns:c16="http://schemas.microsoft.com/office/drawing/2014/chart" uri="{C3380CC4-5D6E-409C-BE32-E72D297353CC}">
              <c16:uniqueId val="{00000000-4CE1-4747-A824-FF59D0D700D5}"/>
            </c:ext>
          </c:extLst>
        </c:ser>
        <c:dLbls>
          <c:showLegendKey val="0"/>
          <c:showVal val="0"/>
          <c:showCatName val="0"/>
          <c:showSerName val="0"/>
          <c:showPercent val="0"/>
          <c:showBubbleSize val="0"/>
        </c:dLbls>
        <c:gapWidth val="219"/>
        <c:overlap val="-27"/>
        <c:axId val="278896431"/>
        <c:axId val="365515791"/>
      </c:barChart>
      <c:catAx>
        <c:axId val="278896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365515791"/>
        <c:crosses val="autoZero"/>
        <c:auto val="1"/>
        <c:lblAlgn val="ctr"/>
        <c:lblOffset val="100"/>
        <c:noMultiLvlLbl val="0"/>
      </c:catAx>
      <c:valAx>
        <c:axId val="365515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278896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[AI_Usage_and_Impact_on_Students_and_Professionals.xlsx]EDA PT!PivotTable8</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 PT'!$H$3</c:f>
              <c:strCache>
                <c:ptCount val="1"/>
                <c:pt idx="0">
                  <c:v>Total</c:v>
                </c:pt>
              </c:strCache>
            </c:strRef>
          </c:tx>
          <c:spPr>
            <a:solidFill>
              <a:schemeClr val="accent1"/>
            </a:solidFill>
            <a:ln>
              <a:noFill/>
            </a:ln>
            <a:effectLst/>
          </c:spPr>
          <c:invertIfNegative val="0"/>
          <c:cat>
            <c:strRef>
              <c:f>'EDA PT'!$G$4:$G$11</c:f>
              <c:strCache>
                <c:ptCount val="7"/>
                <c:pt idx="0">
                  <c:v>Bachelor's</c:v>
                </c:pt>
                <c:pt idx="1">
                  <c:v>Diploma</c:v>
                </c:pt>
                <c:pt idx="2">
                  <c:v>High School</c:v>
                </c:pt>
                <c:pt idx="3">
                  <c:v>Master's</c:v>
                </c:pt>
                <c:pt idx="4">
                  <c:v>Undergraduate</c:v>
                </c:pt>
                <c:pt idx="5">
                  <c:v>(blank)</c:v>
                </c:pt>
                <c:pt idx="6">
                  <c:v>Ph.D</c:v>
                </c:pt>
              </c:strCache>
            </c:strRef>
          </c:cat>
          <c:val>
            <c:numRef>
              <c:f>'EDA PT'!$H$4:$H$11</c:f>
              <c:numCache>
                <c:formatCode>General</c:formatCode>
                <c:ptCount val="7"/>
                <c:pt idx="0">
                  <c:v>74</c:v>
                </c:pt>
                <c:pt idx="1">
                  <c:v>25</c:v>
                </c:pt>
                <c:pt idx="2">
                  <c:v>46</c:v>
                </c:pt>
                <c:pt idx="3">
                  <c:v>52</c:v>
                </c:pt>
                <c:pt idx="4">
                  <c:v>63</c:v>
                </c:pt>
                <c:pt idx="5">
                  <c:v>12</c:v>
                </c:pt>
                <c:pt idx="6">
                  <c:v>16</c:v>
                </c:pt>
              </c:numCache>
            </c:numRef>
          </c:val>
          <c:extLst>
            <c:ext xmlns:c16="http://schemas.microsoft.com/office/drawing/2014/chart" uri="{C3380CC4-5D6E-409C-BE32-E72D297353CC}">
              <c16:uniqueId val="{00000000-6C73-4DFE-92DD-14EA41F74E10}"/>
            </c:ext>
          </c:extLst>
        </c:ser>
        <c:dLbls>
          <c:showLegendKey val="0"/>
          <c:showVal val="0"/>
          <c:showCatName val="0"/>
          <c:showSerName val="0"/>
          <c:showPercent val="0"/>
          <c:showBubbleSize val="0"/>
        </c:dLbls>
        <c:gapWidth val="182"/>
        <c:axId val="369059055"/>
        <c:axId val="365500431"/>
      </c:barChart>
      <c:catAx>
        <c:axId val="3690590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365500431"/>
        <c:crosses val="autoZero"/>
        <c:auto val="1"/>
        <c:lblAlgn val="ctr"/>
        <c:lblOffset val="10"/>
        <c:tickLblSkip val="1"/>
        <c:noMultiLvlLbl val="0"/>
      </c:catAx>
      <c:valAx>
        <c:axId val="3655004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369059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[AI_Usage_and_Impact_on_Students_and_Professionals.xlsx]EDA PT!PivotTable9</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PT'!$K$3</c:f>
              <c:strCache>
                <c:ptCount val="1"/>
                <c:pt idx="0">
                  <c:v>Total</c:v>
                </c:pt>
              </c:strCache>
            </c:strRef>
          </c:tx>
          <c:spPr>
            <a:solidFill>
              <a:schemeClr val="accent1"/>
            </a:solidFill>
            <a:ln>
              <a:noFill/>
            </a:ln>
            <a:effectLst/>
          </c:spPr>
          <c:invertIfNegative val="0"/>
          <c:cat>
            <c:strRef>
              <c:f>'EDA PT'!$J$4:$J$14</c:f>
              <c:strCache>
                <c:ptCount val="10"/>
                <c:pt idx="0">
                  <c:v>Biology Student</c:v>
                </c:pt>
                <c:pt idx="1">
                  <c:v>Business Administration Student</c:v>
                </c:pt>
                <c:pt idx="2">
                  <c:v>Computer Science Student</c:v>
                </c:pt>
                <c:pt idx="3">
                  <c:v>Content Writer</c:v>
                </c:pt>
                <c:pt idx="4">
                  <c:v>Data Science Student</c:v>
                </c:pt>
                <c:pt idx="5">
                  <c:v>English Literature Student</c:v>
                </c:pt>
                <c:pt idx="6">
                  <c:v>Mechanical Engineering Student</c:v>
                </c:pt>
                <c:pt idx="7">
                  <c:v>Software Developer</c:v>
                </c:pt>
                <c:pt idx="8">
                  <c:v>Software Engineering Student</c:v>
                </c:pt>
                <c:pt idx="9">
                  <c:v>(blank)</c:v>
                </c:pt>
              </c:strCache>
            </c:strRef>
          </c:cat>
          <c:val>
            <c:numRef>
              <c:f>'EDA PT'!$K$4:$K$14</c:f>
              <c:numCache>
                <c:formatCode>General</c:formatCode>
                <c:ptCount val="10"/>
                <c:pt idx="0">
                  <c:v>11</c:v>
                </c:pt>
                <c:pt idx="1">
                  <c:v>6</c:v>
                </c:pt>
                <c:pt idx="2">
                  <c:v>18</c:v>
                </c:pt>
                <c:pt idx="3">
                  <c:v>8</c:v>
                </c:pt>
                <c:pt idx="4">
                  <c:v>10</c:v>
                </c:pt>
                <c:pt idx="5">
                  <c:v>24</c:v>
                </c:pt>
                <c:pt idx="6">
                  <c:v>10</c:v>
                </c:pt>
                <c:pt idx="7">
                  <c:v>7</c:v>
                </c:pt>
                <c:pt idx="8">
                  <c:v>7</c:v>
                </c:pt>
                <c:pt idx="9">
                  <c:v>14</c:v>
                </c:pt>
              </c:numCache>
            </c:numRef>
          </c:val>
          <c:extLst>
            <c:ext xmlns:c16="http://schemas.microsoft.com/office/drawing/2014/chart" uri="{C3380CC4-5D6E-409C-BE32-E72D297353CC}">
              <c16:uniqueId val="{00000000-653A-42EC-B8F0-C0AE3C45DD29}"/>
            </c:ext>
          </c:extLst>
        </c:ser>
        <c:dLbls>
          <c:showLegendKey val="0"/>
          <c:showVal val="0"/>
          <c:showCatName val="0"/>
          <c:showSerName val="0"/>
          <c:showPercent val="0"/>
          <c:showBubbleSize val="0"/>
        </c:dLbls>
        <c:gapWidth val="219"/>
        <c:overlap val="-27"/>
        <c:axId val="443056175"/>
        <c:axId val="365448591"/>
      </c:barChart>
      <c:catAx>
        <c:axId val="44305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365448591"/>
        <c:crosses val="autoZero"/>
        <c:auto val="1"/>
        <c:lblAlgn val="ctr"/>
        <c:lblOffset val="100"/>
        <c:noMultiLvlLbl val="0"/>
      </c:catAx>
      <c:valAx>
        <c:axId val="365448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crossAx val="443056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[AI_Usage_and_Impact_on_Students_and_Professionals.xlsx]EDA PT!PivotTable10</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5.1825677267373381E-2"/>
          <c:y val="0.33309935522758471"/>
          <c:w val="0.57593945633120947"/>
          <c:h val="0.59679332109112726"/>
        </c:manualLayout>
      </c:layout>
      <c:pieChart>
        <c:varyColors val="1"/>
        <c:ser>
          <c:idx val="0"/>
          <c:order val="0"/>
          <c:tx>
            <c:strRef>
              <c:f>'EDA PT'!$N$3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E1-408E-B5B8-CF6C926482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E1-408E-B5B8-CF6C9264825A}"/>
              </c:ext>
            </c:extLst>
          </c:dPt>
          <c:cat>
            <c:strRef>
              <c:f>'EDA PT'!$M$4:$M$6</c:f>
              <c:strCache>
                <c:ptCount val="2"/>
                <c:pt idx="0">
                  <c:v>Professional</c:v>
                </c:pt>
                <c:pt idx="1">
                  <c:v>Student</c:v>
                </c:pt>
              </c:strCache>
            </c:strRef>
          </c:cat>
          <c:val>
            <c:numRef>
              <c:f>'EDA PT'!$N$4:$N$6</c:f>
              <c:numCache>
                <c:formatCode>General</c:formatCode>
                <c:ptCount val="2"/>
                <c:pt idx="0">
                  <c:v>137</c:v>
                </c:pt>
                <c:pt idx="1">
                  <c:v>151</c:v>
                </c:pt>
              </c:numCache>
            </c:numRef>
          </c:val>
          <c:extLst>
            <c:ext xmlns:c16="http://schemas.microsoft.com/office/drawing/2014/chart" uri="{C3380CC4-5D6E-409C-BE32-E72D297353CC}">
              <c16:uniqueId val="{00000004-EEE1-408E-B5B8-CF6C9264825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Most Common Ages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Most Common Ages</a:t>
          </a:r>
        </a:p>
      </cx:txPr>
    </cx:title>
    <cx:plotArea>
      <cx:plotAreaRegion>
        <cx:series layoutId="clusteredColumn" uniqueId="{00000000-60CE-4DC4-B2D8-5BA9CCDCF9C5}">
          <cx:tx>
            <cx:txData>
              <cx:f>_xlchart.v1.1</cx:f>
              <cx:v>Count of User_ID</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Most Common Ages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Most Common Ages</a:t>
          </a:r>
        </a:p>
      </cx:txPr>
    </cx:title>
    <cx:plotArea>
      <cx:plotAreaRegion>
        <cx:series layoutId="clusteredColumn" uniqueId="{00000000-60CE-4DC4-B2D8-5BA9CCDCF9C5}">
          <cx:tx>
            <cx:txData>
              <cx:f>_xlchart.v1.4</cx:f>
              <cx:v>Count of User_ID</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_xlchart.v1.8</cx:f>
      </cx:numDim>
    </cx:data>
  </cx:chartData>
  <cx:chart>
    <cx:title pos="t" align="ctr" overlay="0">
      <cx:tx>
        <cx:txData>
          <cx:v>Most Common Ages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Most Common Ages</a:t>
          </a:r>
        </a:p>
      </cx:txPr>
    </cx:title>
    <cx:plotArea>
      <cx:plotAreaRegion>
        <cx:series layoutId="clusteredColumn" uniqueId="{00000000-60CE-4DC4-B2D8-5BA9CCDCF9C5}">
          <cx:tx>
            <cx:txData>
              <cx:f>_xlchart.v1.7</cx:f>
              <cx:v>Count of User_ID</cx:v>
            </cx:txData>
          </cx:tx>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18" Type="http://schemas.openxmlformats.org/officeDocument/2006/relationships/chart" Target="../charts/chart19.xml"/><Relationship Id="rId3" Type="http://schemas.openxmlformats.org/officeDocument/2006/relationships/chart" Target="../charts/chart5.xml"/><Relationship Id="rId7" Type="http://schemas.openxmlformats.org/officeDocument/2006/relationships/chart" Target="../charts/chart8.xml"/><Relationship Id="rId12" Type="http://schemas.openxmlformats.org/officeDocument/2006/relationships/chart" Target="../charts/chart13.xml"/><Relationship Id="rId17" Type="http://schemas.openxmlformats.org/officeDocument/2006/relationships/chart" Target="../charts/chart18.xml"/><Relationship Id="rId2" Type="http://schemas.openxmlformats.org/officeDocument/2006/relationships/chart" Target="../charts/chart4.xml"/><Relationship Id="rId16" Type="http://schemas.openxmlformats.org/officeDocument/2006/relationships/chart" Target="../charts/chart17.xml"/><Relationship Id="rId20" Type="http://schemas.openxmlformats.org/officeDocument/2006/relationships/chart" Target="../charts/chart21.xml"/><Relationship Id="rId1" Type="http://schemas.openxmlformats.org/officeDocument/2006/relationships/chart" Target="../charts/chart3.xml"/><Relationship Id="rId6" Type="http://schemas.microsoft.com/office/2014/relationships/chartEx" Target="../charts/chartEx2.xml"/><Relationship Id="rId11" Type="http://schemas.openxmlformats.org/officeDocument/2006/relationships/chart" Target="../charts/chart12.xml"/><Relationship Id="rId5" Type="http://schemas.openxmlformats.org/officeDocument/2006/relationships/chart" Target="../charts/chart7.xml"/><Relationship Id="rId15" Type="http://schemas.openxmlformats.org/officeDocument/2006/relationships/chart" Target="../charts/chart16.xml"/><Relationship Id="rId10" Type="http://schemas.openxmlformats.org/officeDocument/2006/relationships/chart" Target="../charts/chart11.xml"/><Relationship Id="rId19" Type="http://schemas.openxmlformats.org/officeDocument/2006/relationships/chart" Target="../charts/chart20.xml"/><Relationship Id="rId4" Type="http://schemas.openxmlformats.org/officeDocument/2006/relationships/chart" Target="../charts/chart6.xml"/><Relationship Id="rId9" Type="http://schemas.openxmlformats.org/officeDocument/2006/relationships/chart" Target="../charts/chart10.xml"/><Relationship Id="rId14" Type="http://schemas.openxmlformats.org/officeDocument/2006/relationships/chart" Target="../charts/chart1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 Id="rId5" Type="http://schemas.openxmlformats.org/officeDocument/2006/relationships/chart" Target="../charts/chart26.xml"/><Relationship Id="rId4" Type="http://schemas.openxmlformats.org/officeDocument/2006/relationships/chart" Target="../charts/chart2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chart" Target="../charts/chart28.xml"/><Relationship Id="rId1" Type="http://schemas.openxmlformats.org/officeDocument/2006/relationships/chart" Target="../charts/chart27.xml"/><Relationship Id="rId4" Type="http://schemas.openxmlformats.org/officeDocument/2006/relationships/chart" Target="../charts/chart3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 Id="rId5" Type="http://schemas.openxmlformats.org/officeDocument/2006/relationships/chart" Target="../charts/chart35.xml"/><Relationship Id="rId4" Type="http://schemas.openxmlformats.org/officeDocument/2006/relationships/chart" Target="../charts/chart3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38.xml"/><Relationship Id="rId2" Type="http://schemas.openxmlformats.org/officeDocument/2006/relationships/chart" Target="../charts/chart37.xml"/><Relationship Id="rId1" Type="http://schemas.openxmlformats.org/officeDocument/2006/relationships/chart" Target="../charts/chart36.xml"/><Relationship Id="rId6" Type="http://schemas.microsoft.com/office/2014/relationships/chartEx" Target="../charts/chartEx3.xml"/><Relationship Id="rId5" Type="http://schemas.openxmlformats.org/officeDocument/2006/relationships/chart" Target="../charts/chart40.xml"/><Relationship Id="rId4" Type="http://schemas.openxmlformats.org/officeDocument/2006/relationships/chart" Target="../charts/chart39.xml"/></Relationships>
</file>

<file path=xl/drawings/drawing1.xml><?xml version="1.0" encoding="utf-8"?>
<xdr:wsDr xmlns:xdr="http://schemas.openxmlformats.org/drawingml/2006/spreadsheetDrawing" xmlns:a="http://schemas.openxmlformats.org/drawingml/2006/main">
  <xdr:twoCellAnchor>
    <xdr:from>
      <xdr:col>30</xdr:col>
      <xdr:colOff>82549</xdr:colOff>
      <xdr:row>1</xdr:row>
      <xdr:rowOff>19050</xdr:rowOff>
    </xdr:from>
    <xdr:to>
      <xdr:col>35</xdr:col>
      <xdr:colOff>212724</xdr:colOff>
      <xdr:row>2</xdr:row>
      <xdr:rowOff>1270000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B2BBAEE-6357-146B-8229-2F2AA35A641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6849049" y="222250"/>
              <a:ext cx="3178175" cy="2171700"/>
            </a:xfrm>
            <a:prstGeom prst="rect">
              <a:avLst/>
            </a:prstGeom>
            <a:solidFill>
              <a:prstClr val="white"/>
            </a:solidFill>
            <a:ln w="1">
              <a:solidFill>
                <a:prstClr val="green"/>
              </a:solidFill>
            </a:ln>
          </xdr:spPr>
          <xdr:txBody>
            <a:bodyPr vertOverflow="clip" horzOverflow="clip"/>
            <a:lstStyle/>
            <a:p>
              <a:r>
                <a:rPr lang="en-V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30</xdr:col>
      <xdr:colOff>92075</xdr:colOff>
      <xdr:row>25</xdr:row>
      <xdr:rowOff>450850</xdr:rowOff>
    </xdr:from>
    <xdr:to>
      <xdr:col>36</xdr:col>
      <xdr:colOff>1006475</xdr:colOff>
      <xdr:row>29</xdr:row>
      <xdr:rowOff>431800</xdr:rowOff>
    </xdr:to>
    <xdr:graphicFrame macro="">
      <xdr:nvGraphicFramePr>
        <xdr:cNvPr id="3" name="Chart 2">
          <a:extLst>
            <a:ext uri="{FF2B5EF4-FFF2-40B4-BE49-F238E27FC236}">
              <a16:creationId xmlns:a16="http://schemas.microsoft.com/office/drawing/2014/main" id="{5FBE04EB-9FE7-11F9-7276-659DB515FE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37</xdr:col>
      <xdr:colOff>746125</xdr:colOff>
      <xdr:row>72</xdr:row>
      <xdr:rowOff>374650</xdr:rowOff>
    </xdr:from>
    <xdr:to>
      <xdr:col>41</xdr:col>
      <xdr:colOff>511175</xdr:colOff>
      <xdr:row>77</xdr:row>
      <xdr:rowOff>171450</xdr:rowOff>
    </xdr:to>
    <xdr:graphicFrame macro="">
      <xdr:nvGraphicFramePr>
        <xdr:cNvPr id="5" name="Chart 4">
          <a:extLst>
            <a:ext uri="{FF2B5EF4-FFF2-40B4-BE49-F238E27FC236}">
              <a16:creationId xmlns:a16="http://schemas.microsoft.com/office/drawing/2014/main" id="{A3AB5806-8295-6E82-3DFF-4F7D92CAB4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18</xdr:col>
      <xdr:colOff>276087</xdr:colOff>
      <xdr:row>1</xdr:row>
      <xdr:rowOff>28161</xdr:rowOff>
    </xdr:from>
    <xdr:to>
      <xdr:col>23</xdr:col>
      <xdr:colOff>83655</xdr:colOff>
      <xdr:row>13</xdr:row>
      <xdr:rowOff>15461</xdr:rowOff>
    </xdr:to>
    <xdr:graphicFrame macro="">
      <xdr:nvGraphicFramePr>
        <xdr:cNvPr id="2" name="Chart 1">
          <a:extLst>
            <a:ext uri="{FF2B5EF4-FFF2-40B4-BE49-F238E27FC236}">
              <a16:creationId xmlns:a16="http://schemas.microsoft.com/office/drawing/2014/main" id="{943372FA-C6C7-DC8E-BA0D-12D63736B5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381137</xdr:colOff>
      <xdr:row>0</xdr:row>
      <xdr:rowOff>266425</xdr:rowOff>
    </xdr:from>
    <xdr:to>
      <xdr:col>31</xdr:col>
      <xdr:colOff>162615</xdr:colOff>
      <xdr:row>15</xdr:row>
      <xdr:rowOff>83379</xdr:rowOff>
    </xdr:to>
    <xdr:graphicFrame macro="">
      <xdr:nvGraphicFramePr>
        <xdr:cNvPr id="3" name="Chart 2">
          <a:extLst>
            <a:ext uri="{FF2B5EF4-FFF2-40B4-BE49-F238E27FC236}">
              <a16:creationId xmlns:a16="http://schemas.microsoft.com/office/drawing/2014/main" id="{E1A9E91C-4CEC-C422-5C9C-4B0EB743AC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397151</xdr:colOff>
      <xdr:row>23</xdr:row>
      <xdr:rowOff>78409</xdr:rowOff>
    </xdr:from>
    <xdr:to>
      <xdr:col>33</xdr:col>
      <xdr:colOff>46107</xdr:colOff>
      <xdr:row>37</xdr:row>
      <xdr:rowOff>6902</xdr:rowOff>
    </xdr:to>
    <xdr:graphicFrame macro="">
      <xdr:nvGraphicFramePr>
        <xdr:cNvPr id="4" name="Chart 3">
          <a:extLst>
            <a:ext uri="{FF2B5EF4-FFF2-40B4-BE49-F238E27FC236}">
              <a16:creationId xmlns:a16="http://schemas.microsoft.com/office/drawing/2014/main" id="{E2E7C629-5D73-0E02-2F2E-69C4FA48F4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483567</xdr:colOff>
      <xdr:row>2</xdr:row>
      <xdr:rowOff>7178</xdr:rowOff>
    </xdr:from>
    <xdr:to>
      <xdr:col>38</xdr:col>
      <xdr:colOff>176143</xdr:colOff>
      <xdr:row>16</xdr:row>
      <xdr:rowOff>148535</xdr:rowOff>
    </xdr:to>
    <xdr:graphicFrame macro="">
      <xdr:nvGraphicFramePr>
        <xdr:cNvPr id="5" name="Chart 4">
          <a:extLst>
            <a:ext uri="{FF2B5EF4-FFF2-40B4-BE49-F238E27FC236}">
              <a16:creationId xmlns:a16="http://schemas.microsoft.com/office/drawing/2014/main" id="{9DC8377F-DADE-9544-18D9-AC4EBCF609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58945</xdr:colOff>
      <xdr:row>23</xdr:row>
      <xdr:rowOff>82826</xdr:rowOff>
    </xdr:from>
    <xdr:to>
      <xdr:col>42</xdr:col>
      <xdr:colOff>253724</xdr:colOff>
      <xdr:row>37</xdr:row>
      <xdr:rowOff>76477</xdr:rowOff>
    </xdr:to>
    <xdr:graphicFrame macro="">
      <xdr:nvGraphicFramePr>
        <xdr:cNvPr id="6" name="Chart 5">
          <a:extLst>
            <a:ext uri="{FF2B5EF4-FFF2-40B4-BE49-F238E27FC236}">
              <a16:creationId xmlns:a16="http://schemas.microsoft.com/office/drawing/2014/main" id="{E1981615-BF9E-30C8-FF64-C899BE2217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39</xdr:col>
      <xdr:colOff>41689</xdr:colOff>
      <xdr:row>3</xdr:row>
      <xdr:rowOff>33958</xdr:rowOff>
    </xdr:from>
    <xdr:to>
      <xdr:col>49</xdr:col>
      <xdr:colOff>460789</xdr:colOff>
      <xdr:row>17</xdr:row>
      <xdr:rowOff>552</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6A3DBF48-81C7-4C5B-8809-C66906BEE3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4726363" y="696567"/>
              <a:ext cx="6493013" cy="2478985"/>
            </a:xfrm>
            <a:prstGeom prst="rect">
              <a:avLst/>
            </a:prstGeom>
            <a:solidFill>
              <a:prstClr val="white"/>
            </a:solidFill>
            <a:ln w="1">
              <a:solidFill>
                <a:prstClr val="green"/>
              </a:solidFill>
            </a:ln>
          </xdr:spPr>
          <xdr:txBody>
            <a:bodyPr vertOverflow="clip" horzOverflow="clip"/>
            <a:lstStyle/>
            <a:p>
              <a:r>
                <a:rPr lang="en-VG"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18</xdr:col>
      <xdr:colOff>320536</xdr:colOff>
      <xdr:row>13</xdr:row>
      <xdr:rowOff>137768</xdr:rowOff>
    </xdr:from>
    <xdr:to>
      <xdr:col>20</xdr:col>
      <xdr:colOff>118195</xdr:colOff>
      <xdr:row>21</xdr:row>
      <xdr:rowOff>55218</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8A711960-FE2C-4BDC-6E87-018F11528D6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5549232" y="2594942"/>
              <a:ext cx="1012441" cy="1353102"/>
            </a:xfrm>
            <a:prstGeom prst="rect">
              <a:avLst/>
            </a:prstGeom>
            <a:solidFill>
              <a:prstClr val="white"/>
            </a:solidFill>
            <a:ln w="1">
              <a:solidFill>
                <a:prstClr val="green"/>
              </a:solidFill>
            </a:ln>
          </xdr:spPr>
          <xdr:txBody>
            <a:bodyPr vertOverflow="clip" horzOverflow="clip"/>
            <a:lstStyle/>
            <a:p>
              <a:r>
                <a:rPr lang="en-V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392319</xdr:colOff>
      <xdr:row>14</xdr:row>
      <xdr:rowOff>27608</xdr:rowOff>
    </xdr:from>
    <xdr:to>
      <xdr:col>22</xdr:col>
      <xdr:colOff>491758</xdr:colOff>
      <xdr:row>22</xdr:row>
      <xdr:rowOff>75230</xdr:rowOff>
    </xdr:to>
    <mc:AlternateContent xmlns:mc="http://schemas.openxmlformats.org/markup-compatibility/2006">
      <mc:Choice xmlns:a14="http://schemas.microsoft.com/office/drawing/2010/main" Requires="a14">
        <xdr:graphicFrame macro="">
          <xdr:nvGraphicFramePr>
            <xdr:cNvPr id="10" name="Country">
              <a:extLst>
                <a:ext uri="{FF2B5EF4-FFF2-40B4-BE49-F238E27FC236}">
                  <a16:creationId xmlns:a16="http://schemas.microsoft.com/office/drawing/2014/main" id="{D5363404-3313-B3B0-36BE-8588641C956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36835797" y="2664238"/>
              <a:ext cx="1314222" cy="1483275"/>
            </a:xfrm>
            <a:prstGeom prst="rect">
              <a:avLst/>
            </a:prstGeom>
            <a:solidFill>
              <a:prstClr val="white"/>
            </a:solidFill>
            <a:ln w="1">
              <a:solidFill>
                <a:prstClr val="green"/>
              </a:solidFill>
            </a:ln>
          </xdr:spPr>
          <xdr:txBody>
            <a:bodyPr vertOverflow="clip" horzOverflow="clip"/>
            <a:lstStyle/>
            <a:p>
              <a:r>
                <a:rPr lang="en-V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869675</xdr:colOff>
      <xdr:row>56</xdr:row>
      <xdr:rowOff>69024</xdr:rowOff>
    </xdr:from>
    <xdr:to>
      <xdr:col>14</xdr:col>
      <xdr:colOff>793022</xdr:colOff>
      <xdr:row>71</xdr:row>
      <xdr:rowOff>91248</xdr:rowOff>
    </xdr:to>
    <xdr:graphicFrame macro="">
      <xdr:nvGraphicFramePr>
        <xdr:cNvPr id="11" name="Chart 10">
          <a:extLst>
            <a:ext uri="{FF2B5EF4-FFF2-40B4-BE49-F238E27FC236}">
              <a16:creationId xmlns:a16="http://schemas.microsoft.com/office/drawing/2014/main" id="{60D7A6DF-3C35-0FD7-EBCA-D5CF1673EA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2025369</xdr:colOff>
      <xdr:row>72</xdr:row>
      <xdr:rowOff>89729</xdr:rowOff>
    </xdr:from>
    <xdr:to>
      <xdr:col>14</xdr:col>
      <xdr:colOff>292347</xdr:colOff>
      <xdr:row>87</xdr:row>
      <xdr:rowOff>41399</xdr:rowOff>
    </xdr:to>
    <xdr:graphicFrame macro="">
      <xdr:nvGraphicFramePr>
        <xdr:cNvPr id="13" name="Chart 12">
          <a:extLst>
            <a:ext uri="{FF2B5EF4-FFF2-40B4-BE49-F238E27FC236}">
              <a16:creationId xmlns:a16="http://schemas.microsoft.com/office/drawing/2014/main" id="{573F5969-384B-1034-5ADB-E84E266FBC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956681</xdr:colOff>
      <xdr:row>56</xdr:row>
      <xdr:rowOff>85143</xdr:rowOff>
    </xdr:from>
    <xdr:to>
      <xdr:col>19</xdr:col>
      <xdr:colOff>261555</xdr:colOff>
      <xdr:row>71</xdr:row>
      <xdr:rowOff>50218</xdr:rowOff>
    </xdr:to>
    <xdr:graphicFrame macro="">
      <xdr:nvGraphicFramePr>
        <xdr:cNvPr id="14" name="Chart 13">
          <a:extLst>
            <a:ext uri="{FF2B5EF4-FFF2-40B4-BE49-F238E27FC236}">
              <a16:creationId xmlns:a16="http://schemas.microsoft.com/office/drawing/2014/main" id="{F70864D1-F20E-2E9F-ACED-C6285A68A8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610037</xdr:colOff>
      <xdr:row>71</xdr:row>
      <xdr:rowOff>176789</xdr:rowOff>
    </xdr:from>
    <xdr:to>
      <xdr:col>17</xdr:col>
      <xdr:colOff>695625</xdr:colOff>
      <xdr:row>86</xdr:row>
      <xdr:rowOff>141864</xdr:rowOff>
    </xdr:to>
    <xdr:graphicFrame macro="">
      <xdr:nvGraphicFramePr>
        <xdr:cNvPr id="16" name="Chart 15">
          <a:extLst>
            <a:ext uri="{FF2B5EF4-FFF2-40B4-BE49-F238E27FC236}">
              <a16:creationId xmlns:a16="http://schemas.microsoft.com/office/drawing/2014/main" id="{71511EE7-972B-6985-FBE9-AAF0F23FB4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18</xdr:col>
      <xdr:colOff>19881</xdr:colOff>
      <xdr:row>73</xdr:row>
      <xdr:rowOff>20706</xdr:rowOff>
    </xdr:from>
    <xdr:to>
      <xdr:col>21</xdr:col>
      <xdr:colOff>38024</xdr:colOff>
      <xdr:row>83</xdr:row>
      <xdr:rowOff>56226</xdr:rowOff>
    </xdr:to>
    <mc:AlternateContent xmlns:mc="http://schemas.openxmlformats.org/markup-compatibility/2006">
      <mc:Choice xmlns:a14="http://schemas.microsoft.com/office/drawing/2010/main" Requires="a14">
        <xdr:graphicFrame macro="">
          <xdr:nvGraphicFramePr>
            <xdr:cNvPr id="17" name="Country 3">
              <a:extLst>
                <a:ext uri="{FF2B5EF4-FFF2-40B4-BE49-F238E27FC236}">
                  <a16:creationId xmlns:a16="http://schemas.microsoft.com/office/drawing/2014/main" id="{56459AFB-CFCC-2583-1679-08B018B5FC0D}"/>
                </a:ext>
              </a:extLst>
            </xdr:cNvPr>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dr:sp macro="" textlink="">
          <xdr:nvSpPr>
            <xdr:cNvPr id="0" name=""/>
            <xdr:cNvSpPr>
              <a:spLocks noTextEdit="1"/>
            </xdr:cNvSpPr>
          </xdr:nvSpPr>
          <xdr:spPr>
            <a:xfrm>
              <a:off x="35248577" y="13369510"/>
              <a:ext cx="1840317" cy="1830086"/>
            </a:xfrm>
            <a:prstGeom prst="rect">
              <a:avLst/>
            </a:prstGeom>
            <a:solidFill>
              <a:prstClr val="white"/>
            </a:solidFill>
            <a:ln w="1">
              <a:solidFill>
                <a:prstClr val="green"/>
              </a:solidFill>
            </a:ln>
          </xdr:spPr>
          <xdr:txBody>
            <a:bodyPr vertOverflow="clip" horzOverflow="clip"/>
            <a:lstStyle/>
            <a:p>
              <a:r>
                <a:rPr lang="en-V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704022</xdr:colOff>
      <xdr:row>72</xdr:row>
      <xdr:rowOff>132291</xdr:rowOff>
    </xdr:from>
    <xdr:to>
      <xdr:col>11</xdr:col>
      <xdr:colOff>1110590</xdr:colOff>
      <xdr:row>83</xdr:row>
      <xdr:rowOff>68082</xdr:rowOff>
    </xdr:to>
    <mc:AlternateContent xmlns:mc="http://schemas.openxmlformats.org/markup-compatibility/2006">
      <mc:Choice xmlns:a14="http://schemas.microsoft.com/office/drawing/2010/main" Requires="a14">
        <xdr:graphicFrame macro="">
          <xdr:nvGraphicFramePr>
            <xdr:cNvPr id="18" name="AI_Tool">
              <a:extLst>
                <a:ext uri="{FF2B5EF4-FFF2-40B4-BE49-F238E27FC236}">
                  <a16:creationId xmlns:a16="http://schemas.microsoft.com/office/drawing/2014/main" id="{D6F70A42-1FC5-1A85-9F2D-055BDC42AA1D}"/>
                </a:ext>
              </a:extLst>
            </xdr:cNvPr>
            <xdr:cNvGraphicFramePr/>
          </xdr:nvGraphicFramePr>
          <xdr:xfrm>
            <a:off x="0" y="0"/>
            <a:ext cx="0" cy="0"/>
          </xdr:xfrm>
          <a:graphic>
            <a:graphicData uri="http://schemas.microsoft.com/office/drawing/2010/slicer">
              <sle:slicer xmlns:sle="http://schemas.microsoft.com/office/drawing/2010/slicer" name="AI_Tool"/>
            </a:graphicData>
          </a:graphic>
        </xdr:graphicFrame>
      </mc:Choice>
      <mc:Fallback>
        <xdr:sp macro="" textlink="">
          <xdr:nvSpPr>
            <xdr:cNvPr id="0" name=""/>
            <xdr:cNvSpPr>
              <a:spLocks noTextEdit="1"/>
            </xdr:cNvSpPr>
          </xdr:nvSpPr>
          <xdr:spPr>
            <a:xfrm>
              <a:off x="19754022" y="13301639"/>
              <a:ext cx="1828416" cy="1909813"/>
            </a:xfrm>
            <a:prstGeom prst="rect">
              <a:avLst/>
            </a:prstGeom>
            <a:solidFill>
              <a:prstClr val="white"/>
            </a:solidFill>
            <a:ln w="1">
              <a:solidFill>
                <a:prstClr val="green"/>
              </a:solidFill>
            </a:ln>
          </xdr:spPr>
          <xdr:txBody>
            <a:bodyPr vertOverflow="clip" horzOverflow="clip"/>
            <a:lstStyle/>
            <a:p>
              <a:r>
                <a:rPr lang="en-V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72</xdr:col>
      <xdr:colOff>361176</xdr:colOff>
      <xdr:row>47</xdr:row>
      <xdr:rowOff>78947</xdr:rowOff>
    </xdr:from>
    <xdr:to>
      <xdr:col>80</xdr:col>
      <xdr:colOff>134209</xdr:colOff>
      <xdr:row>61</xdr:row>
      <xdr:rowOff>1091</xdr:rowOff>
    </xdr:to>
    <xdr:graphicFrame macro="">
      <xdr:nvGraphicFramePr>
        <xdr:cNvPr id="19" name="Chart 18">
          <a:extLst>
            <a:ext uri="{FF2B5EF4-FFF2-40B4-BE49-F238E27FC236}">
              <a16:creationId xmlns:a16="http://schemas.microsoft.com/office/drawing/2014/main" id="{76E94521-F9CA-9FF8-5687-5A13309B26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473528</xdr:colOff>
      <xdr:row>91</xdr:row>
      <xdr:rowOff>131906</xdr:rowOff>
    </xdr:from>
    <xdr:to>
      <xdr:col>14</xdr:col>
      <xdr:colOff>1626996</xdr:colOff>
      <xdr:row>106</xdr:row>
      <xdr:rowOff>95533</xdr:rowOff>
    </xdr:to>
    <xdr:graphicFrame macro="">
      <xdr:nvGraphicFramePr>
        <xdr:cNvPr id="20" name="Chart 19">
          <a:extLst>
            <a:ext uri="{FF2B5EF4-FFF2-40B4-BE49-F238E27FC236}">
              <a16:creationId xmlns:a16="http://schemas.microsoft.com/office/drawing/2014/main" id="{61D4F2A4-EEE4-57AE-C468-4DF7A79AC4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1942155</xdr:colOff>
      <xdr:row>93</xdr:row>
      <xdr:rowOff>6902</xdr:rowOff>
    </xdr:from>
    <xdr:to>
      <xdr:col>16</xdr:col>
      <xdr:colOff>2354791</xdr:colOff>
      <xdr:row>107</xdr:row>
      <xdr:rowOff>76292</xdr:rowOff>
    </xdr:to>
    <xdr:graphicFrame macro="">
      <xdr:nvGraphicFramePr>
        <xdr:cNvPr id="21" name="Chart 20">
          <a:extLst>
            <a:ext uri="{FF2B5EF4-FFF2-40B4-BE49-F238E27FC236}">
              <a16:creationId xmlns:a16="http://schemas.microsoft.com/office/drawing/2014/main" id="{1D993B86-0069-F872-FD90-4F5713373B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12616</xdr:colOff>
      <xdr:row>93</xdr:row>
      <xdr:rowOff>62519</xdr:rowOff>
    </xdr:from>
    <xdr:to>
      <xdr:col>28</xdr:col>
      <xdr:colOff>346298</xdr:colOff>
      <xdr:row>108</xdr:row>
      <xdr:rowOff>27594</xdr:rowOff>
    </xdr:to>
    <xdr:graphicFrame macro="">
      <xdr:nvGraphicFramePr>
        <xdr:cNvPr id="22" name="Chart 21">
          <a:extLst>
            <a:ext uri="{FF2B5EF4-FFF2-40B4-BE49-F238E27FC236}">
              <a16:creationId xmlns:a16="http://schemas.microsoft.com/office/drawing/2014/main" id="{2476DDE5-96BA-40F4-C3EE-E64319C320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61</xdr:col>
      <xdr:colOff>327472</xdr:colOff>
      <xdr:row>91</xdr:row>
      <xdr:rowOff>177540</xdr:rowOff>
    </xdr:from>
    <xdr:to>
      <xdr:col>70</xdr:col>
      <xdr:colOff>3146</xdr:colOff>
      <xdr:row>106</xdr:row>
      <xdr:rowOff>142615</xdr:rowOff>
    </xdr:to>
    <xdr:graphicFrame macro="">
      <xdr:nvGraphicFramePr>
        <xdr:cNvPr id="23" name="Chart 22">
          <a:extLst>
            <a:ext uri="{FF2B5EF4-FFF2-40B4-BE49-F238E27FC236}">
              <a16:creationId xmlns:a16="http://schemas.microsoft.com/office/drawing/2014/main" id="{9FC6A54E-CA4F-4922-A4AA-AA93AC8F3B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844176</xdr:colOff>
      <xdr:row>147</xdr:row>
      <xdr:rowOff>52293</xdr:rowOff>
    </xdr:from>
    <xdr:to>
      <xdr:col>14</xdr:col>
      <xdr:colOff>1805278</xdr:colOff>
      <xdr:row>157</xdr:row>
      <xdr:rowOff>65472</xdr:rowOff>
    </xdr:to>
    <xdr:graphicFrame macro="">
      <xdr:nvGraphicFramePr>
        <xdr:cNvPr id="24" name="Chart 23">
          <a:extLst>
            <a:ext uri="{FF2B5EF4-FFF2-40B4-BE49-F238E27FC236}">
              <a16:creationId xmlns:a16="http://schemas.microsoft.com/office/drawing/2014/main" id="{4ADBF7B6-8A2C-16DE-B2A6-11FE2C0C3B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1912471</xdr:colOff>
      <xdr:row>146</xdr:row>
      <xdr:rowOff>159869</xdr:rowOff>
    </xdr:from>
    <xdr:to>
      <xdr:col>16</xdr:col>
      <xdr:colOff>582705</xdr:colOff>
      <xdr:row>163</xdr:row>
      <xdr:rowOff>156883</xdr:rowOff>
    </xdr:to>
    <xdr:graphicFrame macro="">
      <xdr:nvGraphicFramePr>
        <xdr:cNvPr id="25" name="Chart 24">
          <a:extLst>
            <a:ext uri="{FF2B5EF4-FFF2-40B4-BE49-F238E27FC236}">
              <a16:creationId xmlns:a16="http://schemas.microsoft.com/office/drawing/2014/main" id="{3338C84D-8576-2461-E50C-33B2EDC7F5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16</xdr:col>
      <xdr:colOff>672352</xdr:colOff>
      <xdr:row>146</xdr:row>
      <xdr:rowOff>92634</xdr:rowOff>
    </xdr:from>
    <xdr:to>
      <xdr:col>20</xdr:col>
      <xdr:colOff>563165</xdr:colOff>
      <xdr:row>157</xdr:row>
      <xdr:rowOff>13737</xdr:rowOff>
    </xdr:to>
    <xdr:graphicFrame macro="">
      <xdr:nvGraphicFramePr>
        <xdr:cNvPr id="26" name="Chart 25">
          <a:extLst>
            <a:ext uri="{FF2B5EF4-FFF2-40B4-BE49-F238E27FC236}">
              <a16:creationId xmlns:a16="http://schemas.microsoft.com/office/drawing/2014/main" id="{9766B2CC-1137-6D35-B906-0CBC6B6FBD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21</xdr:col>
      <xdr:colOff>52294</xdr:colOff>
      <xdr:row>146</xdr:row>
      <xdr:rowOff>29882</xdr:rowOff>
    </xdr:from>
    <xdr:to>
      <xdr:col>30</xdr:col>
      <xdr:colOff>142142</xdr:colOff>
      <xdr:row>156</xdr:row>
      <xdr:rowOff>137750</xdr:rowOff>
    </xdr:to>
    <xdr:graphicFrame macro="">
      <xdr:nvGraphicFramePr>
        <xdr:cNvPr id="27" name="Chart 26">
          <a:extLst>
            <a:ext uri="{FF2B5EF4-FFF2-40B4-BE49-F238E27FC236}">
              <a16:creationId xmlns:a16="http://schemas.microsoft.com/office/drawing/2014/main" id="{F633BD84-296B-4E7A-974E-1D5D15C4D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31</xdr:col>
      <xdr:colOff>71782</xdr:colOff>
      <xdr:row>146</xdr:row>
      <xdr:rowOff>6398</xdr:rowOff>
    </xdr:from>
    <xdr:to>
      <xdr:col>38</xdr:col>
      <xdr:colOff>500477</xdr:colOff>
      <xdr:row>156</xdr:row>
      <xdr:rowOff>114266</xdr:rowOff>
    </xdr:to>
    <xdr:graphicFrame macro="">
      <xdr:nvGraphicFramePr>
        <xdr:cNvPr id="28" name="Chart 27">
          <a:extLst>
            <a:ext uri="{FF2B5EF4-FFF2-40B4-BE49-F238E27FC236}">
              <a16:creationId xmlns:a16="http://schemas.microsoft.com/office/drawing/2014/main" id="{A16EC3D0-5CB5-167D-8868-6F66CA24B0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171450</xdr:colOff>
      <xdr:row>8</xdr:row>
      <xdr:rowOff>69850</xdr:rowOff>
    </xdr:from>
    <xdr:to>
      <xdr:col>7</xdr:col>
      <xdr:colOff>88900</xdr:colOff>
      <xdr:row>21</xdr:row>
      <xdr:rowOff>172943</xdr:rowOff>
    </xdr:to>
    <xdr:graphicFrame macro="">
      <xdr:nvGraphicFramePr>
        <xdr:cNvPr id="2" name="Chart 1">
          <a:extLst>
            <a:ext uri="{FF2B5EF4-FFF2-40B4-BE49-F238E27FC236}">
              <a16:creationId xmlns:a16="http://schemas.microsoft.com/office/drawing/2014/main" id="{A5A27A66-2900-476B-8A28-D2CB97726C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212912</xdr:colOff>
      <xdr:row>8</xdr:row>
      <xdr:rowOff>42581</xdr:rowOff>
    </xdr:from>
    <xdr:to>
      <xdr:col>12</xdr:col>
      <xdr:colOff>488949</xdr:colOff>
      <xdr:row>32</xdr:row>
      <xdr:rowOff>120650</xdr:rowOff>
    </xdr:to>
    <xdr:graphicFrame macro="">
      <xdr:nvGraphicFramePr>
        <xdr:cNvPr id="3" name="Chart 2">
          <a:extLst>
            <a:ext uri="{FF2B5EF4-FFF2-40B4-BE49-F238E27FC236}">
              <a16:creationId xmlns:a16="http://schemas.microsoft.com/office/drawing/2014/main" id="{E6CCDCC7-2E1B-4080-B1FB-8954785121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154268</xdr:colOff>
      <xdr:row>22</xdr:row>
      <xdr:rowOff>44450</xdr:rowOff>
    </xdr:from>
    <xdr:to>
      <xdr:col>7</xdr:col>
      <xdr:colOff>107950</xdr:colOff>
      <xdr:row>32</xdr:row>
      <xdr:rowOff>101600</xdr:rowOff>
    </xdr:to>
    <xdr:graphicFrame macro="">
      <xdr:nvGraphicFramePr>
        <xdr:cNvPr id="4" name="Chart 3">
          <a:extLst>
            <a:ext uri="{FF2B5EF4-FFF2-40B4-BE49-F238E27FC236}">
              <a16:creationId xmlns:a16="http://schemas.microsoft.com/office/drawing/2014/main" id="{31F3F7FA-B044-4CFD-BFAE-728F0C97B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522941</xdr:colOff>
      <xdr:row>8</xdr:row>
      <xdr:rowOff>38100</xdr:rowOff>
    </xdr:from>
    <xdr:to>
      <xdr:col>18</xdr:col>
      <xdr:colOff>514350</xdr:colOff>
      <xdr:row>21</xdr:row>
      <xdr:rowOff>15487</xdr:rowOff>
    </xdr:to>
    <xdr:graphicFrame macro="">
      <xdr:nvGraphicFramePr>
        <xdr:cNvPr id="5" name="Chart 4">
          <a:extLst>
            <a:ext uri="{FF2B5EF4-FFF2-40B4-BE49-F238E27FC236}">
              <a16:creationId xmlns:a16="http://schemas.microsoft.com/office/drawing/2014/main" id="{82AB131F-999E-4756-AC07-66968D1A02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556195</xdr:colOff>
      <xdr:row>21</xdr:row>
      <xdr:rowOff>77440</xdr:rowOff>
    </xdr:from>
    <xdr:to>
      <xdr:col>18</xdr:col>
      <xdr:colOff>511099</xdr:colOff>
      <xdr:row>32</xdr:row>
      <xdr:rowOff>139390</xdr:rowOff>
    </xdr:to>
    <xdr:graphicFrame macro="">
      <xdr:nvGraphicFramePr>
        <xdr:cNvPr id="6" name="Chart 5">
          <a:extLst>
            <a:ext uri="{FF2B5EF4-FFF2-40B4-BE49-F238E27FC236}">
              <a16:creationId xmlns:a16="http://schemas.microsoft.com/office/drawing/2014/main" id="{0F2289CE-6C0B-4254-AC2C-EBF83391C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278781</xdr:colOff>
      <xdr:row>4</xdr:row>
      <xdr:rowOff>0</xdr:rowOff>
    </xdr:from>
    <xdr:to>
      <xdr:col>7</xdr:col>
      <xdr:colOff>188312</xdr:colOff>
      <xdr:row>7</xdr:row>
      <xdr:rowOff>85725</xdr:rowOff>
    </xdr:to>
    <xdr:sp macro="" textlink="">
      <xdr:nvSpPr>
        <xdr:cNvPr id="7" name="Rectangle: Rounded Corners 6">
          <a:extLst>
            <a:ext uri="{FF2B5EF4-FFF2-40B4-BE49-F238E27FC236}">
              <a16:creationId xmlns:a16="http://schemas.microsoft.com/office/drawing/2014/main" id="{E7D758D4-0753-48FF-97E6-E1DC90D8FF15}"/>
            </a:ext>
          </a:extLst>
        </xdr:cNvPr>
        <xdr:cNvSpPr/>
      </xdr:nvSpPr>
      <xdr:spPr>
        <a:xfrm>
          <a:off x="3298903" y="913780"/>
          <a:ext cx="1117580" cy="64328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solidFill>
            </a:rPr>
            <a:t>Total Users</a:t>
          </a:r>
          <a:br>
            <a:rPr lang="en-US" sz="1400" b="1">
              <a:solidFill>
                <a:schemeClr val="bg1"/>
              </a:solidFill>
            </a:rPr>
          </a:br>
          <a:r>
            <a:rPr lang="en-US" sz="1400" b="1">
              <a:solidFill>
                <a:schemeClr val="bg1"/>
              </a:solidFill>
            </a:rPr>
            <a:t>288</a:t>
          </a:r>
          <a:endParaRPr lang="en-VG" sz="1400" b="1">
            <a:solidFill>
              <a:schemeClr val="bg1"/>
            </a:solidFill>
          </a:endParaRPr>
        </a:p>
      </xdr:txBody>
    </xdr:sp>
    <xdr:clientData/>
  </xdr:twoCellAnchor>
  <xdr:twoCellAnchor>
    <xdr:from>
      <xdr:col>8</xdr:col>
      <xdr:colOff>195831</xdr:colOff>
      <xdr:row>3</xdr:row>
      <xdr:rowOff>182415</xdr:rowOff>
    </xdr:from>
    <xdr:to>
      <xdr:col>11</xdr:col>
      <xdr:colOff>531685</xdr:colOff>
      <xdr:row>7</xdr:row>
      <xdr:rowOff>85469</xdr:rowOff>
    </xdr:to>
    <xdr:sp macro="" textlink="">
      <xdr:nvSpPr>
        <xdr:cNvPr id="8" name="Rectangle: Rounded Corners 7">
          <a:extLst>
            <a:ext uri="{FF2B5EF4-FFF2-40B4-BE49-F238E27FC236}">
              <a16:creationId xmlns:a16="http://schemas.microsoft.com/office/drawing/2014/main" id="{3F9364BA-05AF-47F6-A6AA-AE92AB3A613A}"/>
            </a:ext>
          </a:extLst>
        </xdr:cNvPr>
        <xdr:cNvSpPr/>
      </xdr:nvSpPr>
      <xdr:spPr>
        <a:xfrm>
          <a:off x="5067064" y="913100"/>
          <a:ext cx="2162566" cy="63373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solidFill>
            </a:rPr>
            <a:t>Avg</a:t>
          </a:r>
          <a:r>
            <a:rPr lang="en-US" sz="1400" b="1" baseline="0">
              <a:solidFill>
                <a:schemeClr val="bg1"/>
              </a:solidFill>
            </a:rPr>
            <a:t> Time Saved Weekly</a:t>
          </a:r>
        </a:p>
        <a:p>
          <a:pPr algn="ctr"/>
          <a:r>
            <a:rPr lang="en-US" sz="1400" b="1" baseline="0">
              <a:solidFill>
                <a:schemeClr val="bg1"/>
              </a:solidFill>
            </a:rPr>
            <a:t>5.81hrs</a:t>
          </a:r>
          <a:endParaRPr lang="en-VG" sz="1400" b="1">
            <a:solidFill>
              <a:schemeClr val="bg1"/>
            </a:solidFill>
          </a:endParaRPr>
        </a:p>
      </xdr:txBody>
    </xdr:sp>
    <xdr:clientData/>
  </xdr:twoCellAnchor>
  <xdr:twoCellAnchor editAs="oneCell">
    <xdr:from>
      <xdr:col>16</xdr:col>
      <xdr:colOff>482774</xdr:colOff>
      <xdr:row>0</xdr:row>
      <xdr:rowOff>121781</xdr:rowOff>
    </xdr:from>
    <xdr:to>
      <xdr:col>18</xdr:col>
      <xdr:colOff>478425</xdr:colOff>
      <xdr:row>8</xdr:row>
      <xdr:rowOff>8699</xdr:rowOff>
    </xdr:to>
    <mc:AlternateContent xmlns:mc="http://schemas.openxmlformats.org/markup-compatibility/2006">
      <mc:Choice xmlns:a14="http://schemas.microsoft.com/office/drawing/2010/main" Requires="a14">
        <xdr:graphicFrame macro="">
          <xdr:nvGraphicFramePr>
            <xdr:cNvPr id="10" name="AI_Tool 2">
              <a:extLst>
                <a:ext uri="{FF2B5EF4-FFF2-40B4-BE49-F238E27FC236}">
                  <a16:creationId xmlns:a16="http://schemas.microsoft.com/office/drawing/2014/main" id="{3F301A67-8B6F-A024-08E3-E7098E784813}"/>
                </a:ext>
              </a:extLst>
            </xdr:cNvPr>
            <xdr:cNvGraphicFramePr/>
          </xdr:nvGraphicFramePr>
          <xdr:xfrm>
            <a:off x="0" y="0"/>
            <a:ext cx="0" cy="0"/>
          </xdr:xfrm>
          <a:graphic>
            <a:graphicData uri="http://schemas.microsoft.com/office/drawing/2010/slicer">
              <sle:slicer xmlns:sle="http://schemas.microsoft.com/office/drawing/2010/slicer" name="AI_Tool 2"/>
            </a:graphicData>
          </a:graphic>
        </xdr:graphicFrame>
      </mc:Choice>
      <mc:Fallback>
        <xdr:sp macro="" textlink="">
          <xdr:nvSpPr>
            <xdr:cNvPr id="0" name=""/>
            <xdr:cNvSpPr>
              <a:spLocks noTextEdit="1"/>
            </xdr:cNvSpPr>
          </xdr:nvSpPr>
          <xdr:spPr>
            <a:xfrm>
              <a:off x="10225240" y="121781"/>
              <a:ext cx="1213459" cy="1530959"/>
            </a:xfrm>
            <a:prstGeom prst="rect">
              <a:avLst/>
            </a:prstGeom>
            <a:solidFill>
              <a:prstClr val="white"/>
            </a:solidFill>
            <a:ln w="1">
              <a:solidFill>
                <a:prstClr val="green"/>
              </a:solidFill>
            </a:ln>
          </xdr:spPr>
          <xdr:txBody>
            <a:bodyPr vertOverflow="clip" horzOverflow="clip"/>
            <a:lstStyle/>
            <a:p>
              <a:r>
                <a:rPr lang="en-V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100033</xdr:colOff>
      <xdr:row>0</xdr:row>
      <xdr:rowOff>86986</xdr:rowOff>
    </xdr:from>
    <xdr:to>
      <xdr:col>16</xdr:col>
      <xdr:colOff>400136</xdr:colOff>
      <xdr:row>8</xdr:row>
      <xdr:rowOff>0</xdr:rowOff>
    </xdr:to>
    <mc:AlternateContent xmlns:mc="http://schemas.openxmlformats.org/markup-compatibility/2006">
      <mc:Choice xmlns:a14="http://schemas.microsoft.com/office/drawing/2010/main" Requires="a14">
        <xdr:graphicFrame macro="">
          <xdr:nvGraphicFramePr>
            <xdr:cNvPr id="11" name="Profession">
              <a:extLst>
                <a:ext uri="{FF2B5EF4-FFF2-40B4-BE49-F238E27FC236}">
                  <a16:creationId xmlns:a16="http://schemas.microsoft.com/office/drawing/2014/main" id="{4688233E-85F1-3ECA-4CDF-686D3460EC3B}"/>
                </a:ext>
              </a:extLst>
            </xdr:cNvPr>
            <xdr:cNvGraphicFramePr/>
          </xdr:nvGraphicFramePr>
          <xdr:xfrm>
            <a:off x="0" y="0"/>
            <a:ext cx="0" cy="0"/>
          </xdr:xfrm>
          <a:graphic>
            <a:graphicData uri="http://schemas.microsoft.com/office/drawing/2010/slicer">
              <sle:slicer xmlns:sle="http://schemas.microsoft.com/office/drawing/2010/slicer" name="Profession"/>
            </a:graphicData>
          </a:graphic>
        </xdr:graphicFrame>
      </mc:Choice>
      <mc:Fallback>
        <xdr:sp macro="" textlink="">
          <xdr:nvSpPr>
            <xdr:cNvPr id="0" name=""/>
            <xdr:cNvSpPr>
              <a:spLocks noTextEdit="1"/>
            </xdr:cNvSpPr>
          </xdr:nvSpPr>
          <xdr:spPr>
            <a:xfrm>
              <a:off x="8624691" y="86986"/>
              <a:ext cx="1517911" cy="1557055"/>
            </a:xfrm>
            <a:prstGeom prst="rect">
              <a:avLst/>
            </a:prstGeom>
            <a:solidFill>
              <a:prstClr val="white"/>
            </a:solidFill>
            <a:ln w="1">
              <a:solidFill>
                <a:prstClr val="green"/>
              </a:solidFill>
            </a:ln>
          </xdr:spPr>
          <xdr:txBody>
            <a:bodyPr vertOverflow="clip" horzOverflow="clip"/>
            <a:lstStyle/>
            <a:p>
              <a:r>
                <a:rPr lang="en-V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297656</xdr:colOff>
      <xdr:row>7</xdr:row>
      <xdr:rowOff>3174</xdr:rowOff>
    </xdr:from>
    <xdr:to>
      <xdr:col>10</xdr:col>
      <xdr:colOff>150813</xdr:colOff>
      <xdr:row>18</xdr:row>
      <xdr:rowOff>47625</xdr:rowOff>
    </xdr:to>
    <xdr:graphicFrame macro="">
      <xdr:nvGraphicFramePr>
        <xdr:cNvPr id="2" name="Chart 1">
          <a:extLst>
            <a:ext uri="{FF2B5EF4-FFF2-40B4-BE49-F238E27FC236}">
              <a16:creationId xmlns:a16="http://schemas.microsoft.com/office/drawing/2014/main" id="{2A28E3E7-F7D2-467C-B9A6-0B79C239E4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327423</xdr:colOff>
      <xdr:row>6</xdr:row>
      <xdr:rowOff>179830</xdr:rowOff>
    </xdr:from>
    <xdr:to>
      <xdr:col>18</xdr:col>
      <xdr:colOff>466328</xdr:colOff>
      <xdr:row>18</xdr:row>
      <xdr:rowOff>69453</xdr:rowOff>
    </xdr:to>
    <xdr:graphicFrame macro="">
      <xdr:nvGraphicFramePr>
        <xdr:cNvPr id="3" name="Chart 2">
          <a:extLst>
            <a:ext uri="{FF2B5EF4-FFF2-40B4-BE49-F238E27FC236}">
              <a16:creationId xmlns:a16="http://schemas.microsoft.com/office/drawing/2014/main" id="{32325D83-2C44-44D4-8A2D-94382B92C0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330993</xdr:colOff>
      <xdr:row>18</xdr:row>
      <xdr:rowOff>134937</xdr:rowOff>
    </xdr:from>
    <xdr:to>
      <xdr:col>10</xdr:col>
      <xdr:colOff>142875</xdr:colOff>
      <xdr:row>32</xdr:row>
      <xdr:rowOff>103187</xdr:rowOff>
    </xdr:to>
    <xdr:graphicFrame macro="">
      <xdr:nvGraphicFramePr>
        <xdr:cNvPr id="4" name="Chart 3">
          <a:extLst>
            <a:ext uri="{FF2B5EF4-FFF2-40B4-BE49-F238E27FC236}">
              <a16:creationId xmlns:a16="http://schemas.microsoft.com/office/drawing/2014/main" id="{BF0AB6E7-CA80-4AE3-9D24-6EC33DB36F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373150</xdr:colOff>
      <xdr:row>18</xdr:row>
      <xdr:rowOff>138818</xdr:rowOff>
    </xdr:from>
    <xdr:to>
      <xdr:col>18</xdr:col>
      <xdr:colOff>476250</xdr:colOff>
      <xdr:row>32</xdr:row>
      <xdr:rowOff>109141</xdr:rowOff>
    </xdr:to>
    <xdr:graphicFrame macro="">
      <xdr:nvGraphicFramePr>
        <xdr:cNvPr id="5" name="Chart 4">
          <a:extLst>
            <a:ext uri="{FF2B5EF4-FFF2-40B4-BE49-F238E27FC236}">
              <a16:creationId xmlns:a16="http://schemas.microsoft.com/office/drawing/2014/main" id="{C764B49B-C405-4DCF-A21A-DC8CC675B6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317500</xdr:colOff>
      <xdr:row>2</xdr:row>
      <xdr:rowOff>171450</xdr:rowOff>
    </xdr:from>
    <xdr:to>
      <xdr:col>4</xdr:col>
      <xdr:colOff>218281</xdr:colOff>
      <xdr:row>6</xdr:row>
      <xdr:rowOff>79375</xdr:rowOff>
    </xdr:to>
    <xdr:sp macro="" textlink="">
      <xdr:nvSpPr>
        <xdr:cNvPr id="7" name="Rectangle: Rounded Corners 6">
          <a:extLst>
            <a:ext uri="{FF2B5EF4-FFF2-40B4-BE49-F238E27FC236}">
              <a16:creationId xmlns:a16="http://schemas.microsoft.com/office/drawing/2014/main" id="{D6FFF729-75BB-0D06-4793-1AEF2AD88A83}"/>
            </a:ext>
          </a:extLst>
        </xdr:cNvPr>
        <xdr:cNvSpPr/>
      </xdr:nvSpPr>
      <xdr:spPr>
        <a:xfrm>
          <a:off x="1527969" y="846138"/>
          <a:ext cx="1111250" cy="6619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solidFill>
            </a:rPr>
            <a:t>Total Users</a:t>
          </a:r>
          <a:br>
            <a:rPr lang="en-US" sz="1400" b="1">
              <a:solidFill>
                <a:schemeClr val="bg1"/>
              </a:solidFill>
            </a:rPr>
          </a:br>
          <a:r>
            <a:rPr lang="en-US" sz="1400" b="1">
              <a:solidFill>
                <a:schemeClr val="bg1"/>
              </a:solidFill>
            </a:rPr>
            <a:t>288</a:t>
          </a:r>
          <a:endParaRPr lang="en-VG" sz="1400" b="1">
            <a:solidFill>
              <a:schemeClr val="bg1"/>
            </a:solidFill>
          </a:endParaRPr>
        </a:p>
      </xdr:txBody>
    </xdr:sp>
    <xdr:clientData/>
  </xdr:twoCellAnchor>
  <xdr:twoCellAnchor>
    <xdr:from>
      <xdr:col>4</xdr:col>
      <xdr:colOff>552450</xdr:colOff>
      <xdr:row>3</xdr:row>
      <xdr:rowOff>6351</xdr:rowOff>
    </xdr:from>
    <xdr:to>
      <xdr:col>8</xdr:col>
      <xdr:colOff>158750</xdr:colOff>
      <xdr:row>6</xdr:row>
      <xdr:rowOff>109142</xdr:rowOff>
    </xdr:to>
    <xdr:sp macro="" textlink="">
      <xdr:nvSpPr>
        <xdr:cNvPr id="8" name="Rectangle: Rounded Corners 7">
          <a:extLst>
            <a:ext uri="{FF2B5EF4-FFF2-40B4-BE49-F238E27FC236}">
              <a16:creationId xmlns:a16="http://schemas.microsoft.com/office/drawing/2014/main" id="{B65D640C-0BA1-DCF6-A759-43CD5315CF06}"/>
            </a:ext>
          </a:extLst>
        </xdr:cNvPr>
        <xdr:cNvSpPr/>
      </xdr:nvSpPr>
      <xdr:spPr>
        <a:xfrm>
          <a:off x="2973388" y="869554"/>
          <a:ext cx="2027237" cy="66833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Avg</a:t>
          </a:r>
          <a:r>
            <a:rPr lang="en-US" sz="1400" b="1" baseline="0"/>
            <a:t> Productivity Score</a:t>
          </a:r>
        </a:p>
        <a:p>
          <a:pPr algn="ctr"/>
          <a:r>
            <a:rPr lang="en-US" sz="1400" b="1" baseline="0"/>
            <a:t>5.24</a:t>
          </a:r>
        </a:p>
        <a:p>
          <a:pPr algn="l"/>
          <a:endParaRPr lang="en-VG" sz="1100"/>
        </a:p>
      </xdr:txBody>
    </xdr:sp>
    <xdr:clientData/>
  </xdr:twoCellAnchor>
  <xdr:twoCellAnchor>
    <xdr:from>
      <xdr:col>8</xdr:col>
      <xdr:colOff>501649</xdr:colOff>
      <xdr:row>3</xdr:row>
      <xdr:rowOff>31751</xdr:rowOff>
    </xdr:from>
    <xdr:to>
      <xdr:col>12</xdr:col>
      <xdr:colOff>79374</xdr:colOff>
      <xdr:row>6</xdr:row>
      <xdr:rowOff>99220</xdr:rowOff>
    </xdr:to>
    <xdr:sp macro="" textlink="">
      <xdr:nvSpPr>
        <xdr:cNvPr id="10" name="Rectangle: Rounded Corners 9">
          <a:extLst>
            <a:ext uri="{FF2B5EF4-FFF2-40B4-BE49-F238E27FC236}">
              <a16:creationId xmlns:a16="http://schemas.microsoft.com/office/drawing/2014/main" id="{7F095C76-45CF-48E7-875B-84E7452F5BAE}"/>
            </a:ext>
          </a:extLst>
        </xdr:cNvPr>
        <xdr:cNvSpPr/>
      </xdr:nvSpPr>
      <xdr:spPr>
        <a:xfrm>
          <a:off x="5343524" y="894954"/>
          <a:ext cx="1998663" cy="63301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Avg</a:t>
          </a:r>
          <a:r>
            <a:rPr lang="en-US" sz="1400" b="1" baseline="0"/>
            <a:t> Accuracy Score</a:t>
          </a:r>
        </a:p>
        <a:p>
          <a:pPr algn="ctr"/>
          <a:r>
            <a:rPr lang="en-US" sz="1400" b="1" baseline="0"/>
            <a:t>3.42</a:t>
          </a:r>
        </a:p>
      </xdr:txBody>
    </xdr:sp>
    <xdr:clientData/>
  </xdr:twoCellAnchor>
  <xdr:twoCellAnchor>
    <xdr:from>
      <xdr:col>12</xdr:col>
      <xdr:colOff>558801</xdr:colOff>
      <xdr:row>3</xdr:row>
      <xdr:rowOff>50801</xdr:rowOff>
    </xdr:from>
    <xdr:to>
      <xdr:col>16</xdr:col>
      <xdr:colOff>69454</xdr:colOff>
      <xdr:row>6</xdr:row>
      <xdr:rowOff>119064</xdr:rowOff>
    </xdr:to>
    <xdr:sp macro="" textlink="">
      <xdr:nvSpPr>
        <xdr:cNvPr id="11" name="Rectangle: Rounded Corners 10">
          <a:extLst>
            <a:ext uri="{FF2B5EF4-FFF2-40B4-BE49-F238E27FC236}">
              <a16:creationId xmlns:a16="http://schemas.microsoft.com/office/drawing/2014/main" id="{47699743-6C5B-4157-A153-E47F1A04CFCD}"/>
            </a:ext>
          </a:extLst>
        </xdr:cNvPr>
        <xdr:cNvSpPr/>
      </xdr:nvSpPr>
      <xdr:spPr>
        <a:xfrm>
          <a:off x="7821614" y="914004"/>
          <a:ext cx="1931590" cy="63381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Avg</a:t>
          </a:r>
          <a:r>
            <a:rPr lang="en-US" sz="1400" b="1" baseline="0"/>
            <a:t> Saticfaction Score</a:t>
          </a:r>
        </a:p>
        <a:p>
          <a:pPr algn="ctr"/>
          <a:r>
            <a:rPr lang="en-US" sz="1400" b="1" baseline="0"/>
            <a:t>6.13</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0</xdr:colOff>
      <xdr:row>3</xdr:row>
      <xdr:rowOff>0</xdr:rowOff>
    </xdr:from>
    <xdr:to>
      <xdr:col>9</xdr:col>
      <xdr:colOff>521821</xdr:colOff>
      <xdr:row>6</xdr:row>
      <xdr:rowOff>96744</xdr:rowOff>
    </xdr:to>
    <xdr:sp macro="" textlink="">
      <xdr:nvSpPr>
        <xdr:cNvPr id="2" name="Rectangle: Rounded Corners 1">
          <a:extLst>
            <a:ext uri="{FF2B5EF4-FFF2-40B4-BE49-F238E27FC236}">
              <a16:creationId xmlns:a16="http://schemas.microsoft.com/office/drawing/2014/main" id="{746D1050-0CA0-4D6E-92A5-4F11A679FF16}"/>
            </a:ext>
          </a:extLst>
        </xdr:cNvPr>
        <xdr:cNvSpPr/>
      </xdr:nvSpPr>
      <xdr:spPr>
        <a:xfrm>
          <a:off x="4876800" y="666750"/>
          <a:ext cx="1131421" cy="64919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400">
              <a:solidFill>
                <a:schemeClr val="bg1"/>
              </a:solidFill>
              <a:effectLst/>
            </a:rPr>
            <a:t>Total User</a:t>
          </a:r>
        </a:p>
        <a:p>
          <a:pPr algn="ctr"/>
          <a:r>
            <a:rPr lang="en-US" sz="1400">
              <a:solidFill>
                <a:schemeClr val="bg1"/>
              </a:solidFill>
              <a:effectLst/>
            </a:rPr>
            <a:t>288</a:t>
          </a:r>
          <a:endParaRPr lang="en-VG" sz="1400">
            <a:solidFill>
              <a:schemeClr val="bg1"/>
            </a:solidFill>
            <a:effectLst/>
          </a:endParaRPr>
        </a:p>
      </xdr:txBody>
    </xdr:sp>
    <xdr:clientData/>
  </xdr:twoCellAnchor>
  <xdr:twoCellAnchor>
    <xdr:from>
      <xdr:col>10</xdr:col>
      <xdr:colOff>527050</xdr:colOff>
      <xdr:row>3</xdr:row>
      <xdr:rowOff>19050</xdr:rowOff>
    </xdr:from>
    <xdr:to>
      <xdr:col>13</xdr:col>
      <xdr:colOff>438150</xdr:colOff>
      <xdr:row>6</xdr:row>
      <xdr:rowOff>120650</xdr:rowOff>
    </xdr:to>
    <xdr:sp macro="" textlink="">
      <xdr:nvSpPr>
        <xdr:cNvPr id="3" name="Rectangle: Rounded Corners 2">
          <a:extLst>
            <a:ext uri="{FF2B5EF4-FFF2-40B4-BE49-F238E27FC236}">
              <a16:creationId xmlns:a16="http://schemas.microsoft.com/office/drawing/2014/main" id="{D9282371-1B05-935C-398E-1FEC3ECA1323}"/>
            </a:ext>
          </a:extLst>
        </xdr:cNvPr>
        <xdr:cNvSpPr/>
      </xdr:nvSpPr>
      <xdr:spPr>
        <a:xfrm>
          <a:off x="6623050" y="685800"/>
          <a:ext cx="1739900" cy="654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bg1"/>
              </a:solidFill>
            </a:rPr>
            <a:t>Average AI usage per day</a:t>
          </a:r>
        </a:p>
        <a:p>
          <a:pPr algn="ctr"/>
          <a:r>
            <a:rPr lang="en-US" sz="1200">
              <a:solidFill>
                <a:schemeClr val="bg1"/>
              </a:solidFill>
            </a:rPr>
            <a:t>2.94hrs/dy</a:t>
          </a:r>
          <a:endParaRPr lang="en-VG" sz="1200">
            <a:solidFill>
              <a:schemeClr val="bg1"/>
            </a:solidFill>
          </a:endParaRPr>
        </a:p>
      </xdr:txBody>
    </xdr:sp>
    <xdr:clientData/>
  </xdr:twoCellAnchor>
  <xdr:twoCellAnchor>
    <xdr:from>
      <xdr:col>4</xdr:col>
      <xdr:colOff>374649</xdr:colOff>
      <xdr:row>7</xdr:row>
      <xdr:rowOff>89960</xdr:rowOff>
    </xdr:from>
    <xdr:to>
      <xdr:col>11</xdr:col>
      <xdr:colOff>354853</xdr:colOff>
      <xdr:row>22</xdr:row>
      <xdr:rowOff>121397</xdr:rowOff>
    </xdr:to>
    <xdr:graphicFrame macro="">
      <xdr:nvGraphicFramePr>
        <xdr:cNvPr id="5" name="Chart 4">
          <a:extLst>
            <a:ext uri="{FF2B5EF4-FFF2-40B4-BE49-F238E27FC236}">
              <a16:creationId xmlns:a16="http://schemas.microsoft.com/office/drawing/2014/main" id="{1F86E00E-EDAF-464F-A2D3-14B607349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149048</xdr:colOff>
      <xdr:row>7</xdr:row>
      <xdr:rowOff>82550</xdr:rowOff>
    </xdr:from>
    <xdr:to>
      <xdr:col>4</xdr:col>
      <xdr:colOff>203199</xdr:colOff>
      <xdr:row>22</xdr:row>
      <xdr:rowOff>133350</xdr:rowOff>
    </xdr:to>
    <xdr:graphicFrame macro="">
      <xdr:nvGraphicFramePr>
        <xdr:cNvPr id="6" name="Chart 5">
          <a:extLst>
            <a:ext uri="{FF2B5EF4-FFF2-40B4-BE49-F238E27FC236}">
              <a16:creationId xmlns:a16="http://schemas.microsoft.com/office/drawing/2014/main" id="{FC58BFB0-4DAA-4F85-8682-895C232240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424380</xdr:colOff>
      <xdr:row>7</xdr:row>
      <xdr:rowOff>104485</xdr:rowOff>
    </xdr:from>
    <xdr:to>
      <xdr:col>20</xdr:col>
      <xdr:colOff>317499</xdr:colOff>
      <xdr:row>22</xdr:row>
      <xdr:rowOff>112059</xdr:rowOff>
    </xdr:to>
    <xdr:graphicFrame macro="">
      <xdr:nvGraphicFramePr>
        <xdr:cNvPr id="7" name="Chart 6">
          <a:extLst>
            <a:ext uri="{FF2B5EF4-FFF2-40B4-BE49-F238E27FC236}">
              <a16:creationId xmlns:a16="http://schemas.microsoft.com/office/drawing/2014/main" id="{2BCDAE14-FC0B-43E9-A279-29974E81CD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25400</xdr:colOff>
      <xdr:row>22</xdr:row>
      <xdr:rowOff>184149</xdr:rowOff>
    </xdr:from>
    <xdr:to>
      <xdr:col>14</xdr:col>
      <xdr:colOff>63499</xdr:colOff>
      <xdr:row>35</xdr:row>
      <xdr:rowOff>146050</xdr:rowOff>
    </xdr:to>
    <xdr:graphicFrame macro="">
      <xdr:nvGraphicFramePr>
        <xdr:cNvPr id="8" name="Chart 7">
          <a:extLst>
            <a:ext uri="{FF2B5EF4-FFF2-40B4-BE49-F238E27FC236}">
              <a16:creationId xmlns:a16="http://schemas.microsoft.com/office/drawing/2014/main" id="{A7AD1C2D-63BC-4C76-8A25-D886F73C62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129646</xdr:colOff>
      <xdr:row>22</xdr:row>
      <xdr:rowOff>178153</xdr:rowOff>
    </xdr:from>
    <xdr:to>
      <xdr:col>5</xdr:col>
      <xdr:colOff>463550</xdr:colOff>
      <xdr:row>35</xdr:row>
      <xdr:rowOff>152400</xdr:rowOff>
    </xdr:to>
    <xdr:graphicFrame macro="">
      <xdr:nvGraphicFramePr>
        <xdr:cNvPr id="9" name="Chart 8">
          <a:extLst>
            <a:ext uri="{FF2B5EF4-FFF2-40B4-BE49-F238E27FC236}">
              <a16:creationId xmlns:a16="http://schemas.microsoft.com/office/drawing/2014/main" id="{685B60F1-1AC6-4CCD-B368-D6011CFA66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255059</xdr:colOff>
      <xdr:row>22</xdr:row>
      <xdr:rowOff>180975</xdr:rowOff>
    </xdr:from>
    <xdr:to>
      <xdr:col>20</xdr:col>
      <xdr:colOff>293159</xdr:colOff>
      <xdr:row>35</xdr:row>
      <xdr:rowOff>120651</xdr:rowOff>
    </xdr:to>
    <mc:AlternateContent xmlns:mc="http://schemas.openxmlformats.org/markup-compatibility/2006">
      <mc:Choice xmlns:a14="http://schemas.microsoft.com/office/drawing/2010/main" Requires="a14">
        <xdr:graphicFrame macro="">
          <xdr:nvGraphicFramePr>
            <xdr:cNvPr id="10" name="Country 4">
              <a:extLst>
                <a:ext uri="{FF2B5EF4-FFF2-40B4-BE49-F238E27FC236}">
                  <a16:creationId xmlns:a16="http://schemas.microsoft.com/office/drawing/2014/main" id="{92C1A04A-0535-4CB2-A38A-A1DB98FD3681}"/>
                </a:ext>
              </a:extLst>
            </xdr:cNvPr>
            <xdr:cNvGraphicFramePr/>
          </xdr:nvGraphicFramePr>
          <xdr:xfrm>
            <a:off x="0" y="0"/>
            <a:ext cx="0" cy="0"/>
          </xdr:xfrm>
          <a:graphic>
            <a:graphicData uri="http://schemas.microsoft.com/office/drawing/2010/slicer">
              <sle:slicer xmlns:sle="http://schemas.microsoft.com/office/drawing/2010/slicer" name="Country 4"/>
            </a:graphicData>
          </a:graphic>
        </xdr:graphicFrame>
      </mc:Choice>
      <mc:Fallback>
        <xdr:sp macro="" textlink="">
          <xdr:nvSpPr>
            <xdr:cNvPr id="0" name=""/>
            <xdr:cNvSpPr>
              <a:spLocks noTextEdit="1"/>
            </xdr:cNvSpPr>
          </xdr:nvSpPr>
          <xdr:spPr>
            <a:xfrm>
              <a:off x="10573809" y="4495240"/>
              <a:ext cx="1859056" cy="2367617"/>
            </a:xfrm>
            <a:prstGeom prst="rect">
              <a:avLst/>
            </a:prstGeom>
            <a:solidFill>
              <a:prstClr val="white"/>
            </a:solidFill>
            <a:ln w="1">
              <a:solidFill>
                <a:prstClr val="green"/>
              </a:solidFill>
            </a:ln>
          </xdr:spPr>
          <xdr:txBody>
            <a:bodyPr vertOverflow="clip" horzOverflow="clip"/>
            <a:lstStyle/>
            <a:p>
              <a:r>
                <a:rPr lang="en-V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114300</xdr:colOff>
      <xdr:row>22</xdr:row>
      <xdr:rowOff>165100</xdr:rowOff>
    </xdr:from>
    <xdr:to>
      <xdr:col>17</xdr:col>
      <xdr:colOff>152400</xdr:colOff>
      <xdr:row>35</xdr:row>
      <xdr:rowOff>152401</xdr:rowOff>
    </xdr:to>
    <mc:AlternateContent xmlns:mc="http://schemas.openxmlformats.org/markup-compatibility/2006">
      <mc:Choice xmlns:a14="http://schemas.microsoft.com/office/drawing/2010/main" Requires="a14">
        <xdr:graphicFrame macro="">
          <xdr:nvGraphicFramePr>
            <xdr:cNvPr id="11" name="AI_Tool 1">
              <a:extLst>
                <a:ext uri="{FF2B5EF4-FFF2-40B4-BE49-F238E27FC236}">
                  <a16:creationId xmlns:a16="http://schemas.microsoft.com/office/drawing/2014/main" id="{95D008FE-FF65-442D-82BA-5D7A3FB3FDC7}"/>
                </a:ext>
              </a:extLst>
            </xdr:cNvPr>
            <xdr:cNvGraphicFramePr/>
          </xdr:nvGraphicFramePr>
          <xdr:xfrm>
            <a:off x="0" y="0"/>
            <a:ext cx="0" cy="0"/>
          </xdr:xfrm>
          <a:graphic>
            <a:graphicData uri="http://schemas.microsoft.com/office/drawing/2010/slicer">
              <sle:slicer xmlns:sle="http://schemas.microsoft.com/office/drawing/2010/slicer" name="AI_Tool 1"/>
            </a:graphicData>
          </a:graphic>
        </xdr:graphicFrame>
      </mc:Choice>
      <mc:Fallback>
        <xdr:sp macro="" textlink="">
          <xdr:nvSpPr>
            <xdr:cNvPr id="0" name=""/>
            <xdr:cNvSpPr>
              <a:spLocks noTextEdit="1"/>
            </xdr:cNvSpPr>
          </xdr:nvSpPr>
          <xdr:spPr>
            <a:xfrm>
              <a:off x="8612094" y="4479365"/>
              <a:ext cx="1859056" cy="2415242"/>
            </a:xfrm>
            <a:prstGeom prst="rect">
              <a:avLst/>
            </a:prstGeom>
            <a:solidFill>
              <a:prstClr val="white"/>
            </a:solidFill>
            <a:ln w="1">
              <a:solidFill>
                <a:prstClr val="green"/>
              </a:solidFill>
            </a:ln>
          </xdr:spPr>
          <xdr:txBody>
            <a:bodyPr vertOverflow="clip" horzOverflow="clip"/>
            <a:lstStyle/>
            <a:p>
              <a:r>
                <a:rPr lang="en-V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8</xdr:col>
      <xdr:colOff>114300</xdr:colOff>
      <xdr:row>3</xdr:row>
      <xdr:rowOff>31750</xdr:rowOff>
    </xdr:from>
    <xdr:to>
      <xdr:col>10</xdr:col>
      <xdr:colOff>31750</xdr:colOff>
      <xdr:row>6</xdr:row>
      <xdr:rowOff>120650</xdr:rowOff>
    </xdr:to>
    <xdr:sp macro="" textlink="">
      <xdr:nvSpPr>
        <xdr:cNvPr id="2" name="Rectangle: Rounded Corners 1">
          <a:extLst>
            <a:ext uri="{FF2B5EF4-FFF2-40B4-BE49-F238E27FC236}">
              <a16:creationId xmlns:a16="http://schemas.microsoft.com/office/drawing/2014/main" id="{AEDC7056-9376-7653-72C3-EDAC2C875509}"/>
            </a:ext>
          </a:extLst>
        </xdr:cNvPr>
        <xdr:cNvSpPr/>
      </xdr:nvSpPr>
      <xdr:spPr>
        <a:xfrm>
          <a:off x="4991100" y="793750"/>
          <a:ext cx="1136650" cy="641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400">
              <a:solidFill>
                <a:schemeClr val="bg1"/>
              </a:solidFill>
              <a:effectLst/>
            </a:rPr>
            <a:t>Total User</a:t>
          </a:r>
        </a:p>
        <a:p>
          <a:pPr algn="ctr"/>
          <a:r>
            <a:rPr lang="en-US" sz="1400">
              <a:solidFill>
                <a:schemeClr val="bg1"/>
              </a:solidFill>
              <a:effectLst/>
            </a:rPr>
            <a:t>288</a:t>
          </a:r>
          <a:endParaRPr lang="en-VG" sz="1400">
            <a:solidFill>
              <a:schemeClr val="bg1"/>
            </a:solidFill>
            <a:effectLst/>
          </a:endParaRPr>
        </a:p>
      </xdr:txBody>
    </xdr:sp>
    <xdr:clientData/>
  </xdr:twoCellAnchor>
  <xdr:twoCellAnchor>
    <xdr:from>
      <xdr:col>11</xdr:col>
      <xdr:colOff>184150</xdr:colOff>
      <xdr:row>3</xdr:row>
      <xdr:rowOff>76200</xdr:rowOff>
    </xdr:from>
    <xdr:to>
      <xdr:col>13</xdr:col>
      <xdr:colOff>469900</xdr:colOff>
      <xdr:row>6</xdr:row>
      <xdr:rowOff>127000</xdr:rowOff>
    </xdr:to>
    <xdr:sp macro="" textlink="">
      <xdr:nvSpPr>
        <xdr:cNvPr id="3" name="Rectangle: Rounded Corners 2">
          <a:extLst>
            <a:ext uri="{FF2B5EF4-FFF2-40B4-BE49-F238E27FC236}">
              <a16:creationId xmlns:a16="http://schemas.microsoft.com/office/drawing/2014/main" id="{2BC0DF01-DD39-A8BC-5510-DE90D2B2DD4E}"/>
            </a:ext>
          </a:extLst>
        </xdr:cNvPr>
        <xdr:cNvSpPr/>
      </xdr:nvSpPr>
      <xdr:spPr>
        <a:xfrm>
          <a:off x="6889750" y="838200"/>
          <a:ext cx="1504950" cy="6032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400" b="1">
              <a:solidFill>
                <a:schemeClr val="bg1"/>
              </a:solidFill>
            </a:rPr>
            <a:t>Average Age</a:t>
          </a:r>
        </a:p>
        <a:p>
          <a:pPr algn="ctr"/>
          <a:r>
            <a:rPr lang="en-US" sz="1400" b="1">
              <a:solidFill>
                <a:schemeClr val="bg1"/>
              </a:solidFill>
            </a:rPr>
            <a:t>29.30</a:t>
          </a:r>
          <a:endParaRPr lang="en-VG" sz="1400" b="1">
            <a:solidFill>
              <a:schemeClr val="bg1"/>
            </a:solidFill>
          </a:endParaRPr>
        </a:p>
      </xdr:txBody>
    </xdr:sp>
    <xdr:clientData/>
  </xdr:twoCellAnchor>
  <xdr:twoCellAnchor>
    <xdr:from>
      <xdr:col>5</xdr:col>
      <xdr:colOff>406399</xdr:colOff>
      <xdr:row>8</xdr:row>
      <xdr:rowOff>0</xdr:rowOff>
    </xdr:from>
    <xdr:to>
      <xdr:col>11</xdr:col>
      <xdr:colOff>254000</xdr:colOff>
      <xdr:row>21</xdr:row>
      <xdr:rowOff>101601</xdr:rowOff>
    </xdr:to>
    <xdr:graphicFrame macro="">
      <xdr:nvGraphicFramePr>
        <xdr:cNvPr id="4" name="Chart 3">
          <a:extLst>
            <a:ext uri="{FF2B5EF4-FFF2-40B4-BE49-F238E27FC236}">
              <a16:creationId xmlns:a16="http://schemas.microsoft.com/office/drawing/2014/main" id="{D31B4D98-72BC-425A-BD1E-EFF80E751E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89958</xdr:colOff>
      <xdr:row>21</xdr:row>
      <xdr:rowOff>184150</xdr:rowOff>
    </xdr:from>
    <xdr:to>
      <xdr:col>5</xdr:col>
      <xdr:colOff>201083</xdr:colOff>
      <xdr:row>36</xdr:row>
      <xdr:rowOff>118533</xdr:rowOff>
    </xdr:to>
    <xdr:graphicFrame macro="">
      <xdr:nvGraphicFramePr>
        <xdr:cNvPr id="5" name="Chart 4">
          <a:extLst>
            <a:ext uri="{FF2B5EF4-FFF2-40B4-BE49-F238E27FC236}">
              <a16:creationId xmlns:a16="http://schemas.microsoft.com/office/drawing/2014/main" id="{2D8839F1-5391-4F88-9CD1-B9DA5A7772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606423</xdr:colOff>
      <xdr:row>22</xdr:row>
      <xdr:rowOff>25401</xdr:rowOff>
    </xdr:from>
    <xdr:to>
      <xdr:col>19</xdr:col>
      <xdr:colOff>296333</xdr:colOff>
      <xdr:row>36</xdr:row>
      <xdr:rowOff>42333</xdr:rowOff>
    </xdr:to>
    <xdr:graphicFrame macro="">
      <xdr:nvGraphicFramePr>
        <xdr:cNvPr id="6" name="Chart 5">
          <a:extLst>
            <a:ext uri="{FF2B5EF4-FFF2-40B4-BE49-F238E27FC236}">
              <a16:creationId xmlns:a16="http://schemas.microsoft.com/office/drawing/2014/main" id="{B970A314-7520-492A-8402-1F8C0D8018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581024</xdr:colOff>
      <xdr:row>7</xdr:row>
      <xdr:rowOff>177800</xdr:rowOff>
    </xdr:from>
    <xdr:to>
      <xdr:col>19</xdr:col>
      <xdr:colOff>304800</xdr:colOff>
      <xdr:row>21</xdr:row>
      <xdr:rowOff>135466</xdr:rowOff>
    </xdr:to>
    <xdr:graphicFrame macro="">
      <xdr:nvGraphicFramePr>
        <xdr:cNvPr id="7" name="Chart 6">
          <a:extLst>
            <a:ext uri="{FF2B5EF4-FFF2-40B4-BE49-F238E27FC236}">
              <a16:creationId xmlns:a16="http://schemas.microsoft.com/office/drawing/2014/main" id="{75949367-D7C9-4278-8CB8-01C6C0B83E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422277</xdr:colOff>
      <xdr:row>22</xdr:row>
      <xdr:rowOff>76200</xdr:rowOff>
    </xdr:from>
    <xdr:to>
      <xdr:col>11</xdr:col>
      <xdr:colOff>287867</xdr:colOff>
      <xdr:row>36</xdr:row>
      <xdr:rowOff>126999</xdr:rowOff>
    </xdr:to>
    <xdr:graphicFrame macro="">
      <xdr:nvGraphicFramePr>
        <xdr:cNvPr id="8" name="Chart 7">
          <a:extLst>
            <a:ext uri="{FF2B5EF4-FFF2-40B4-BE49-F238E27FC236}">
              <a16:creationId xmlns:a16="http://schemas.microsoft.com/office/drawing/2014/main" id="{22B70E5C-6B7E-40AC-A0E0-B23EFCA3C2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110065</xdr:colOff>
      <xdr:row>8</xdr:row>
      <xdr:rowOff>25400</xdr:rowOff>
    </xdr:from>
    <xdr:to>
      <xdr:col>5</xdr:col>
      <xdr:colOff>220133</xdr:colOff>
      <xdr:row>21</xdr:row>
      <xdr:rowOff>122766</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78487BB4-559C-453A-855B-1888EBD8E4A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0065" y="1727200"/>
              <a:ext cx="3158068" cy="2518833"/>
            </a:xfrm>
            <a:prstGeom prst="rect">
              <a:avLst/>
            </a:prstGeom>
            <a:solidFill>
              <a:prstClr val="white"/>
            </a:solidFill>
            <a:ln w="1">
              <a:solidFill>
                <a:prstClr val="green"/>
              </a:solidFill>
            </a:ln>
          </xdr:spPr>
          <xdr:txBody>
            <a:bodyPr vertOverflow="clip" horzOverflow="clip"/>
            <a:lstStyle/>
            <a:p>
              <a:r>
                <a:rPr lang="en-VG"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15</xdr:col>
      <xdr:colOff>296333</xdr:colOff>
      <xdr:row>0</xdr:row>
      <xdr:rowOff>127000</xdr:rowOff>
    </xdr:from>
    <xdr:to>
      <xdr:col>17</xdr:col>
      <xdr:colOff>188384</xdr:colOff>
      <xdr:row>7</xdr:row>
      <xdr:rowOff>21167</xdr:rowOff>
    </xdr:to>
    <mc:AlternateContent xmlns:mc="http://schemas.openxmlformats.org/markup-compatibility/2006">
      <mc:Choice xmlns:a14="http://schemas.microsoft.com/office/drawing/2010/main" Requires="a14">
        <xdr:graphicFrame macro="">
          <xdr:nvGraphicFramePr>
            <xdr:cNvPr id="10" name="Gender 1">
              <a:extLst>
                <a:ext uri="{FF2B5EF4-FFF2-40B4-BE49-F238E27FC236}">
                  <a16:creationId xmlns:a16="http://schemas.microsoft.com/office/drawing/2014/main" id="{37E13147-C7D4-45C0-B4B1-C0298E8E1C0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9401112" y="127000"/>
              <a:ext cx="1106022" cy="1406961"/>
            </a:xfrm>
            <a:prstGeom prst="rect">
              <a:avLst/>
            </a:prstGeom>
            <a:solidFill>
              <a:prstClr val="white"/>
            </a:solidFill>
            <a:ln w="1">
              <a:solidFill>
                <a:prstClr val="green"/>
              </a:solidFill>
            </a:ln>
          </xdr:spPr>
          <xdr:txBody>
            <a:bodyPr vertOverflow="clip" horzOverflow="clip"/>
            <a:lstStyle/>
            <a:p>
              <a:r>
                <a:rPr lang="en-V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325967</xdr:colOff>
      <xdr:row>0</xdr:row>
      <xdr:rowOff>93134</xdr:rowOff>
    </xdr:from>
    <xdr:to>
      <xdr:col>19</xdr:col>
      <xdr:colOff>414867</xdr:colOff>
      <xdr:row>7</xdr:row>
      <xdr:rowOff>98423</xdr:rowOff>
    </xdr:to>
    <mc:AlternateContent xmlns:mc="http://schemas.openxmlformats.org/markup-compatibility/2006">
      <mc:Choice xmlns:a14="http://schemas.microsoft.com/office/drawing/2010/main" Requires="a14">
        <xdr:graphicFrame macro="">
          <xdr:nvGraphicFramePr>
            <xdr:cNvPr id="11" name="Country 1">
              <a:extLst>
                <a:ext uri="{FF2B5EF4-FFF2-40B4-BE49-F238E27FC236}">
                  <a16:creationId xmlns:a16="http://schemas.microsoft.com/office/drawing/2014/main" id="{86877A9C-A4A4-4EFF-B33C-E0A5DB51C2BE}"/>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0644717" y="93134"/>
              <a:ext cx="1302871" cy="1518083"/>
            </a:xfrm>
            <a:prstGeom prst="rect">
              <a:avLst/>
            </a:prstGeom>
            <a:solidFill>
              <a:prstClr val="white"/>
            </a:solidFill>
            <a:ln w="1">
              <a:solidFill>
                <a:prstClr val="green"/>
              </a:solidFill>
            </a:ln>
          </xdr:spPr>
          <xdr:txBody>
            <a:bodyPr vertOverflow="clip" horzOverflow="clip"/>
            <a:lstStyle/>
            <a:p>
              <a:r>
                <a:rPr lang="en-V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ancis Okesola" refreshedDate="46320.616099305553" createdVersion="8" refreshedVersion="8" minRefreshableVersion="3" recordCount="288" xr:uid="{957B6AAF-83EF-4048-9208-3606EDC7FFFD}">
  <cacheSource type="worksheet">
    <worksheetSource ref="A1:S289" sheet="AI_Usage_and_Impact_on_Students"/>
  </cacheSource>
  <cacheFields count="19">
    <cacheField name="User_ID" numFmtId="0">
      <sharedItems/>
    </cacheField>
    <cacheField name="Age" numFmtId="0">
      <sharedItems containsString="0" containsBlank="1" containsNumber="1" containsInteger="1" minValue="16" maxValue="97" count="43">
        <n v="30"/>
        <n v="17"/>
        <n v="35"/>
        <n v="19"/>
        <n v="32"/>
        <n v="16"/>
        <n v="40"/>
        <n v="36"/>
        <n v="22"/>
        <n v="21"/>
        <n v="28"/>
        <n v="23"/>
        <n v="61"/>
        <n v="24"/>
        <n v="29"/>
        <m/>
        <n v="44"/>
        <n v="18"/>
        <n v="45"/>
        <n v="43"/>
        <n v="20"/>
        <n v="34"/>
        <n v="26"/>
        <n v="33"/>
        <n v="31"/>
        <n v="47"/>
        <n v="37"/>
        <n v="39"/>
        <n v="25"/>
        <n v="97"/>
        <n v="54"/>
        <n v="56"/>
        <n v="63"/>
        <n v="41"/>
        <n v="27"/>
        <n v="58"/>
        <n v="49"/>
        <n v="55"/>
        <n v="46"/>
        <n v="48"/>
        <n v="53"/>
        <n v="64"/>
        <n v="38"/>
      </sharedItems>
    </cacheField>
    <cacheField name="Gender" numFmtId="0">
      <sharedItems count="5">
        <s v="Male"/>
        <s v="Female"/>
        <s v=""/>
        <s v="Other"/>
        <s v="Non-Binary"/>
      </sharedItems>
    </cacheField>
    <cacheField name="Country" numFmtId="0">
      <sharedItems containsBlank="1" count="18">
        <s v="United Kingdom"/>
        <s v="United States"/>
        <s v="Canada"/>
        <s v="Brazil"/>
        <s v="France"/>
        <s v="Philippines"/>
        <s v="India"/>
        <s v="Pakistan"/>
        <s v="Australia"/>
        <s v="Kenya"/>
        <s v="Nigeria"/>
        <s v="Germany"/>
        <s v=""/>
        <m u="1"/>
        <s v=" United Kingdom" u="1"/>
        <s v="  United Kingdom" u="1"/>
        <s v=" United Kingdom." u="1"/>
        <s v="U.K." u="1"/>
      </sharedItems>
    </cacheField>
    <cacheField name="User_Type" numFmtId="0">
      <sharedItems count="2">
        <s v="Professional"/>
        <s v="Student"/>
      </sharedItems>
    </cacheField>
    <cacheField name="Education_Level" numFmtId="0">
      <sharedItems containsBlank="1" count="18">
        <s v="Master's"/>
        <s v="Bachelor's"/>
        <m/>
        <s v="Undergraduate"/>
        <s v="High School"/>
        <s v="Diploma"/>
        <s v="Ph.D"/>
        <s v="Undergraduateuate" u="1"/>
        <s v="BA/BSc" u="1"/>
        <s v="bachelor's degree" u="1"/>
        <s v="Bachelors" u="1"/>
        <s v="HS" u="1"/>
        <s v="PhD" u="1"/>
        <s v="MA/MSc" u="1"/>
        <s v="Ph.D." u="1"/>
        <s v="master's degree" u="1"/>
        <s v="undergrad" u="1"/>
        <s v="Masters" u="1"/>
      </sharedItems>
    </cacheField>
    <cacheField name="Profession" numFmtId="0">
      <sharedItems containsBlank="1" count="127">
        <s v="Business Analyst"/>
        <s v="Customer Support Specialist"/>
        <s v="Computer Science Student"/>
        <s v="Desenvolvedora de Software / Software Developer"/>
        <s v="Biology Student"/>
        <s v="Business Analytics Student"/>
        <s v="D��veloppeur Full Stack"/>
        <s v="Social Media Content Creator"/>
        <s v="Digital Media Production Student"/>
        <m/>
        <s v="Research Analyst"/>
        <s v="Mechanical Engineering Student"/>
        <s v="Software Developer"/>
        <s v="Software Engineering Student"/>
        <s v="Data Analyst"/>
        <s v="English Literature Student"/>
        <s v="Research Technician"/>
        <s v="AI-Powered Customer Support Executive"/>
        <s v="Kundenservice-Spezialistin / Customer Service Specialist"/>
        <s v="Digital Content Creator"/>
        <s v="Pesquisador de Mercado"/>
        <s v="Business Administration Student"/>
        <s v="Research Assistant"/>
        <s v="Engineering Student"/>
        <s v="Information Technology Student"/>
        <s v="Senior Software Engineer"/>
        <s v="Data Analytics Manager"/>
        <s v="Engenheiro de Software S��nior / Tech Lead"/>
        <s v="Content Writer"/>
        <s v="Senior Software Engineer / Technical Lead"/>
        <s v="Research Scientist/Senior Research Officer"/>
        <s v="Artificial Intelligence and Machine Learning Student"/>
        <s v="Content Strategy Manager"/>
        <s v="Social Media Content Creator / Digital Marketer"/>
        <s v="Responsable de Contenu Digital"/>
        <s v="Marketing Communications Officer"/>
        <s v="Digital Media Student"/>
        <s v="Content Marketing Manager"/>
        <s v="Business Intelligence Analyst"/>
        <s v="Desenvolvedor de Software S��nior"/>
        <s v="Bioinformatics Student"/>
        <s v="Digital Media and Communications Student"/>
        <s v="Administrative Assistant"/>
        <s v="Biotechnology Student"/>
        <s v="Senior Software Engineer / AI Solutions Architect"/>
        <s v="Environmental Science Student"/>
        <s v="Senior Software Developer / Softwareentwicklerin"/>
        <s v="Data Entry Specialist"/>
        <s v="Data Entry Operator"/>
        <s v="Artificial Intelligence Research Student"/>
        <s v="Digital Content Strategist"/>
        <s v="Molecular Biology Student"/>
        <s v="Customer Service Representative"/>
        <s v="Senior Content Strategist"/>
        <s v="Senior Machine Learning Engineer"/>
        <s v="Senior Data Scientist"/>
        <s v="Content Strategist &amp; Technical Writer"/>
        <s v="Electronics Engineering Student"/>
        <s v="Junior Software Developer"/>
        <s v="German Literature Student"/>
        <s v="Machine Learning Research Student"/>
        <s v="Software Development Student"/>
        <s v="Mathematics Student"/>
        <s v="AI Customer Support Specialist"/>
        <s v="Especialista em Atendimento ao Cliente com IA"/>
        <s v="Customer Experience Manager"/>
        <s v="Administrative Executive"/>
        <s v="Data Science Student"/>
        <s v="Customer Support Specialist / AI Support Operations Manager"/>
        <s v="Desenvolvedora de Sistemas J��nior"/>
        <s v="Digital Marketing Student"/>
        <s v="Machine Learning Student"/>
        <s v="Content Manager"/>
        <s v="AI Customer Success Manager"/>
        <s v="Gerente de Atendimento ao Cliente"/>
        <s v="Creative Writing Student"/>
        <s v="Computer Science PhD Student"/>
        <s v="Senior Research Scientist"/>
        <s v="Content Creator/Gestor de Conte��do Digital"/>
        <s v="Junior Web Developer"/>
        <s v="Kundenbetreuerin mit KI-Unterst��tzung"/>
        <s v="Senior Software Developer"/>
        <s v="Pesquisador S��nior em Intelig��ncia Artificial e Ci��ncia de Dados"/>
        <s v="Technical Writer"/>
        <s v="Biomedical Science Student"/>
        <s v="Physics Student"/>
        <s v="Artificial Intelligence &amp; Digital Media Student"/>
        <s v="German Literature and Comparative Studies Student"/>
        <s v="Analista de Dados S��nior"/>
        <s v="Digital Media &amp; Film Production Student"/>
        <s v="AI Content Strategist"/>
        <s v="Customer Support Manager"/>
        <s v="Softwareentwicklerin (Software Developer)"/>
        <s v="Digital Content Creator / Social Media Manager"/>
        <s v="Biomedical Engineering Student"/>
        <s v="Psychology Student"/>
        <s v="Datenanalyst"/>
        <s v="Biotechnology PhD Student"/>
        <s v="D��veloppeur Logiciel (Software Developer)"/>
        <s v="Electronics and Communication Engineering Student"/>
        <s v="D��veloppeur Full Stack Junior"/>
        <s v="Senior Software Engineer / AI Systems Developer"/>
        <s v="Research Scientist / Data Analyst"/>
        <s v="Content Strategist"/>
        <s v="Software Developer (Diploma Qualified)"/>
        <s v="Desenvolvedor de Sistemas Junior"/>
        <s v="Data Analyst / Business Intelligence Specialist"/>
        <s v="Assistente Administrativo"/>
        <s v="Digital Marketing Manager"/>
        <s v="Psychology Research Student"/>
        <s v="Digital Content Writer"/>
        <s v="Statistics Student"/>
        <s v="Literature Student"/>
        <s v="Theoretical Physics Student"/>
        <s v="Customer Service Executive"/>
        <s v="Customer Support Executive"/>
        <s v="Softwareentwickler (Software Developer)"/>
        <s v="Projektmanagerin (Project Manager)"/>
        <s v="Software Support Technician"/>
        <s v="History Student"/>
        <s v="Desenvolvedora de Software"/>
        <s v="Analyste de Donn��es / Data Analyst"/>
        <s v="Research Scientist"/>
        <s v="Academic Research Professor and Technical Writer"/>
        <s v="Analista de Dados"/>
        <s v="Multimedia Content Producer"/>
        <s v="Desenvolvedor de Sistemas (Systems Developer)"/>
      </sharedItems>
    </cacheField>
    <cacheField name="Monthly_Income" numFmtId="165">
      <sharedItems containsString="0" containsBlank="1" containsNumber="1" containsInteger="1" minValue="0" maxValue="250000"/>
    </cacheField>
    <cacheField name="AI_Tool" numFmtId="0">
      <sharedItems containsBlank="1" count="12">
        <s v="Chat GPT"/>
        <s v="Meta AI"/>
        <s v="Perplexity AI"/>
        <s v="Claude"/>
        <s v="Gemini"/>
        <s v="Grammarly"/>
        <s v="Copilot"/>
        <s v="DeepSeek"/>
        <m/>
        <s v="Google Gemini" u="1"/>
        <s v="Microsoft Copilot" u="1"/>
        <s v="ChatGPT" u="1"/>
      </sharedItems>
    </cacheField>
    <cacheField name="AI_Purpose" numFmtId="0">
      <sharedItems containsBlank="1" count="9">
        <s v="Office Work"/>
        <s v="Customer Support"/>
        <s v="Coding"/>
        <m/>
        <s v="Data Analysis"/>
        <s v="Content Creation"/>
        <s v="Writing"/>
        <s v="Research"/>
        <s v="Studying"/>
      </sharedItems>
    </cacheField>
    <cacheField name="AI_Usage_Hours_Per_Day" numFmtId="0">
      <sharedItems containsString="0" containsBlank="1" containsNumber="1" minValue="0.5" maxValue="23" count="76">
        <n v="2"/>
        <n v="5.7"/>
        <n v="1"/>
        <n v="1.7"/>
        <n v="4.0999999999999996"/>
        <n v="1.5"/>
        <n v="1.2"/>
        <n v="1.6"/>
        <n v="2.7"/>
        <n v="5"/>
        <n v="0.8"/>
        <n v="5.8"/>
        <n v="3.9"/>
        <n v="9.6"/>
        <n v="23"/>
        <n v="0.9"/>
        <n v="2.6"/>
        <n v="0.6"/>
        <n v="0.7"/>
        <n v="7.4"/>
        <n v="5.4"/>
        <n v="5.2"/>
        <n v="3.7"/>
        <n v="2.2999999999999998"/>
        <n v="1.9"/>
        <n v="5.5"/>
        <n v="5.0999999999999996"/>
        <n v="2.4"/>
        <n v="9.1"/>
        <n v="8"/>
        <m/>
        <n v="7.7"/>
        <n v="1.3"/>
        <n v="2.2000000000000002"/>
        <n v="4.5999999999999996"/>
        <n v="1.4"/>
        <n v="7.2"/>
        <n v="3.4"/>
        <n v="0.5"/>
        <n v="3.5"/>
        <n v="4.9000000000000004"/>
        <n v="4.3"/>
        <n v="2.1"/>
        <n v="7"/>
        <n v="9.9"/>
        <n v="4.8"/>
        <n v="3.6"/>
        <n v="8.5"/>
        <n v="1.8"/>
        <n v="3.3"/>
        <n v="3.8"/>
        <n v="4"/>
        <n v="3"/>
        <n v="6.5"/>
        <n v="2.9"/>
        <n v="9.5"/>
        <n v="9.6999999999999993"/>
        <n v="2.8"/>
        <n v="5.9"/>
        <n v="1.1000000000000001"/>
        <n v="7.1"/>
        <n v="2.5"/>
        <n v="4.4000000000000004"/>
        <n v="9.8000000000000007"/>
        <n v="6.1"/>
        <n v="3.1"/>
        <n v="5.3"/>
        <n v="6.8"/>
        <n v="4.5"/>
        <n v="4.2"/>
        <n v="6.3"/>
        <n v="8.1"/>
        <n v="8.6"/>
        <n v="3.2"/>
        <n v="6"/>
        <n v="7.9"/>
      </sharedItems>
    </cacheField>
    <cacheField name="Tasks_Performed" numFmtId="0">
      <sharedItems containsBlank="1"/>
    </cacheField>
    <cacheField name="Monthly_AI_Cost" numFmtId="164">
      <sharedItems containsString="0" containsBlank="1" containsNumber="1" containsInteger="1" minValue="0" maxValue="100"/>
    </cacheField>
    <cacheField name="Productivity_Score" numFmtId="0">
      <sharedItems containsString="0" containsBlank="1" containsNumber="1" minValue="1.6" maxValue="10"/>
    </cacheField>
    <cacheField name="Accuracy_Rating" numFmtId="0">
      <sharedItems containsString="0" containsBlank="1" containsNumber="1" containsInteger="1" minValue="2" maxValue="5"/>
    </cacheField>
    <cacheField name="Satisfaction_Score" numFmtId="0">
      <sharedItems containsString="0" containsBlank="1" containsNumber="1" containsInteger="1" minValue="3" maxValue="10"/>
    </cacheField>
    <cacheField name="Time_Saved_Hours_Per_Week" numFmtId="0">
      <sharedItems containsString="0" containsBlank="1" containsNumber="1" minValue="0" maxValue="19.399999999999999"/>
    </cacheField>
    <cacheField name="Work_or_Study_Hours_Per_Day" numFmtId="0">
      <sharedItems containsString="0" containsBlank="1" containsNumber="1" minValue="2.1" maxValue="20"/>
    </cacheField>
    <cacheField name="Would_Recommend" numFmtId="0">
      <sharedItems containsBlank="1"/>
    </cacheField>
  </cacheFields>
  <extLst>
    <ext xmlns:x14="http://schemas.microsoft.com/office/spreadsheetml/2009/9/main" uri="{725AE2AE-9491-48be-B2B4-4EB974FC3084}">
      <x14:pivotCacheDefinition pivotCacheId="254801768"/>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s v="U0269"/>
    <x v="0"/>
    <x v="0"/>
    <x v="0"/>
    <x v="0"/>
    <x v="0"/>
    <x v="0"/>
    <n v="5421"/>
    <x v="0"/>
    <x v="0"/>
    <x v="0"/>
    <s v="Data analysis using AI-powered analytics tools, automated report generation, process optimization modelling, AI-assisted business intelligence reporting"/>
    <m/>
    <n v="5.3"/>
    <n v="4"/>
    <n v="7"/>
    <n v="3.9"/>
    <n v="7.3"/>
    <s v="Yes"/>
  </r>
  <r>
    <s v="U0217"/>
    <x v="0"/>
    <x v="0"/>
    <x v="1"/>
    <x v="0"/>
    <x v="1"/>
    <x v="1"/>
    <n v="8903"/>
    <x v="0"/>
    <x v="1"/>
    <x v="1"/>
    <s v="Resolving customer inquiries using AI chatbot platforms, drafting personalized email responses with AI writing assistants, analyzing customer sentiment with AI tools, managing support tickets with AI-powered ticketing systems"/>
    <n v="0"/>
    <n v="9.9"/>
    <n v="3"/>
    <n v="9"/>
    <n v="11.4"/>
    <n v="8.4"/>
    <s v="Yes"/>
  </r>
  <r>
    <s v="U0152"/>
    <x v="1"/>
    <x v="1"/>
    <x v="2"/>
    <x v="1"/>
    <x v="2"/>
    <x v="2"/>
    <n v="402"/>
    <x v="0"/>
    <x v="2"/>
    <x v="2"/>
    <m/>
    <n v="20"/>
    <n v="3.2"/>
    <n v="2"/>
    <n v="4"/>
    <n v="5.2"/>
    <n v="6.7"/>
    <s v="No"/>
  </r>
  <r>
    <s v="U0264"/>
    <x v="2"/>
    <x v="1"/>
    <x v="3"/>
    <x v="0"/>
    <x v="1"/>
    <x v="3"/>
    <n v="1367"/>
    <x v="1"/>
    <x v="2"/>
    <x v="3"/>
    <s v="Usar GitHub Copilot para autocompletar c��digo, debugar aplica����es com assist��ncia de IA, otimizar algoritmos com sugest��es de IA, revisar e refatorar c��digo existente"/>
    <n v="20"/>
    <n v="5.6"/>
    <n v="4"/>
    <n v="5"/>
    <n v="6.4"/>
    <n v="9.6"/>
    <s v="Maybe"/>
  </r>
  <r>
    <s v="U0263"/>
    <x v="3"/>
    <x v="2"/>
    <x v="2"/>
    <x v="1"/>
    <x v="3"/>
    <x v="4"/>
    <n v="438"/>
    <x v="2"/>
    <x v="3"/>
    <x v="4"/>
    <s v="Using AI to generate study summaries for exam preparation, getting help with practice problem solutions, organizing research paper notes"/>
    <n v="0"/>
    <n v="4.7"/>
    <n v="4"/>
    <n v="7"/>
    <n v="9.1999999999999993"/>
    <n v="6.2"/>
    <s v="Yes"/>
  </r>
  <r>
    <s v="U0225"/>
    <x v="3"/>
    <x v="0"/>
    <x v="1"/>
    <x v="1"/>
    <x v="3"/>
    <x v="5"/>
    <n v="774"/>
    <x v="1"/>
    <x v="4"/>
    <x v="5"/>
    <s v="Statistical analysis on datasets, data visualization with Python libraries, predictive modeling for coursework, business intelligence report generation"/>
    <n v="0"/>
    <n v="5"/>
    <n v="3"/>
    <n v="6"/>
    <n v="2.9"/>
    <n v="7.4"/>
    <s v="No"/>
  </r>
  <r>
    <s v="U0246"/>
    <x v="4"/>
    <x v="0"/>
    <x v="4"/>
    <x v="0"/>
    <x v="1"/>
    <x v="6"/>
    <n v="4466"/>
    <x v="0"/>
    <x v="2"/>
    <x v="6"/>
    <s v="Automated code review with AI-powered linters, Generated boilerplate code and API endpoints using GitHub Copilot, Debugged complex algorithms with AI assistance, Optimized database queries using AI suggestions"/>
    <n v="20"/>
    <n v="3"/>
    <n v="2"/>
    <n v="5"/>
    <n v="6.6"/>
    <n v="6.4"/>
    <s v="Yes"/>
  </r>
  <r>
    <s v="U0177"/>
    <x v="4"/>
    <x v="0"/>
    <x v="5"/>
    <x v="0"/>
    <x v="4"/>
    <x v="7"/>
    <n v="486"/>
    <x v="0"/>
    <x v="5"/>
    <x v="0"/>
    <s v="Creating Instagram/TikTok captions with AI writing tools, Generating YouTube thumbnails and video descriptions using AI design assistants, Editing photos and videos with AI-powered software"/>
    <n v="0"/>
    <n v="6.5"/>
    <n v="2"/>
    <n v="5"/>
    <n v="3.2"/>
    <n v="6.4"/>
    <s v="Yes"/>
  </r>
  <r>
    <s v="U0207"/>
    <x v="5"/>
    <x v="0"/>
    <x v="5"/>
    <x v="1"/>
    <x v="3"/>
    <x v="8"/>
    <n v="132"/>
    <x v="3"/>
    <x v="5"/>
    <x v="7"/>
    <s v="Creating YouTube video scripts, Designing social media graphics with AI image generators, Writing blog content for tech topics"/>
    <n v="30"/>
    <n v="4.7"/>
    <n v="4"/>
    <n v="6"/>
    <n v="3.8"/>
    <n v="3.8"/>
    <s v="Yes"/>
  </r>
  <r>
    <s v="U0167"/>
    <x v="6"/>
    <x v="1"/>
    <x v="6"/>
    <x v="0"/>
    <x v="4"/>
    <x v="9"/>
    <n v="1595"/>
    <x v="0"/>
    <x v="6"/>
    <x v="3"/>
    <s v="Email copywriting, Social media post creation, Blog article drafting, Product description writing"/>
    <n v="10"/>
    <m/>
    <n v="2"/>
    <n v="5"/>
    <n v="7.5"/>
    <n v="9.4"/>
    <s v="Maybe"/>
  </r>
  <r>
    <s v="U0135"/>
    <x v="7"/>
    <x v="0"/>
    <x v="7"/>
    <x v="0"/>
    <x v="0"/>
    <x v="10"/>
    <n v="856"/>
    <x v="0"/>
    <x v="7"/>
    <x v="8"/>
    <s v="Literature review and synthesis using AI-powered databases, Data analysis and pattern recognition, Research paper writing and academic content generation"/>
    <n v="0"/>
    <m/>
    <n v="4"/>
    <n v="6"/>
    <n v="5.7"/>
    <n v="8.6999999999999993"/>
    <s v="Yes"/>
  </r>
  <r>
    <s v="U0211"/>
    <x v="8"/>
    <x v="1"/>
    <x v="2"/>
    <x v="1"/>
    <x v="3"/>
    <x v="11"/>
    <n v="547"/>
    <x v="3"/>
    <x v="7"/>
    <x v="9"/>
    <s v="Literature review and paper summarization, Data analysis for lab experiments, Generating research hypotheses, Technical documentation and report writing"/>
    <n v="0"/>
    <n v="6.6"/>
    <n v="3"/>
    <n v="6"/>
    <n v="9.8000000000000007"/>
    <n v="5.6"/>
    <s v="No"/>
  </r>
  <r>
    <s v="U0114"/>
    <x v="0"/>
    <x v="1"/>
    <x v="8"/>
    <x v="0"/>
    <x v="1"/>
    <x v="12"/>
    <n v="3307"/>
    <x v="0"/>
    <x v="2"/>
    <x v="10"/>
    <s v="Using AI code completion tools for writing Python functions, debugging code with AI-assisted analysis, generating unit test cases with AI tools"/>
    <n v="10"/>
    <n v="2.2999999999999998"/>
    <n v="4"/>
    <n v="4"/>
    <n v="0.5"/>
    <n v="8"/>
    <s v="No"/>
  </r>
  <r>
    <s v="U0191"/>
    <x v="9"/>
    <x v="0"/>
    <x v="2"/>
    <x v="1"/>
    <x v="3"/>
    <x v="13"/>
    <n v="387"/>
    <x v="0"/>
    <x v="2"/>
    <x v="11"/>
    <s v="Debugging code with AI assistance, generating code snippets for assignments, learning programming concepts through AI explanations"/>
    <n v="30"/>
    <n v="6.9"/>
    <n v="4"/>
    <n v="8"/>
    <n v="10.199999999999999"/>
    <n v="4.8"/>
    <s v="Yes"/>
  </r>
  <r>
    <s v="U0035"/>
    <x v="10"/>
    <x v="1"/>
    <x v="0"/>
    <x v="0"/>
    <x v="1"/>
    <x v="14"/>
    <n v="3117"/>
    <x v="3"/>
    <x v="4"/>
    <x v="12"/>
    <s v="Automated data cleaning and processing with Python scripts, building predictive models using machine learning algorithms, generating interactive dashboards and visualizations in Power BI"/>
    <n v="10"/>
    <n v="8.6"/>
    <n v="3"/>
    <n v="8"/>
    <n v="11.8"/>
    <n v="7.6"/>
    <s v="Yes"/>
  </r>
  <r>
    <s v="U0215"/>
    <x v="11"/>
    <x v="0"/>
    <x v="6"/>
    <x v="1"/>
    <x v="0"/>
    <x v="15"/>
    <n v="109"/>
    <x v="4"/>
    <x v="6"/>
    <x v="5"/>
    <s v="Drafting research papers on literary analysis, brainstorming essay outlines, proofreading and refining academic writing, generating content summaries for thesis work"/>
    <n v="20"/>
    <n v="3.9"/>
    <n v="3"/>
    <n v="6"/>
    <n v="3.7"/>
    <n v="3.9"/>
    <s v="Yes"/>
  </r>
  <r>
    <s v="U0228"/>
    <x v="8"/>
    <x v="1"/>
    <x v="9"/>
    <x v="1"/>
    <x v="4"/>
    <x v="4"/>
    <n v="109"/>
    <x v="0"/>
    <x v="7"/>
    <x v="13"/>
    <s v="Literature review for lab reports, summarizing research papers on molecular genetics, generating study notes from scientific articles"/>
    <n v="20"/>
    <n v="7.3"/>
    <n v="4"/>
    <n v="9"/>
    <n v="19.399999999999999"/>
    <n v="5.2"/>
    <s v="Yes"/>
  </r>
  <r>
    <s v="U0046"/>
    <x v="12"/>
    <x v="0"/>
    <x v="10"/>
    <x v="0"/>
    <x v="5"/>
    <x v="16"/>
    <n v="585"/>
    <x v="4"/>
    <x v="7"/>
    <x v="14"/>
    <s v="Literature review synthesis using AI search tools, Data analysis and statistical reporting with AI-assisted tools, Survey data organization and preliminary findings documentation"/>
    <n v="10"/>
    <n v="4.0999999999999996"/>
    <n v="3"/>
    <n v="4"/>
    <n v="5.4"/>
    <n v="9.5"/>
    <s v="No"/>
  </r>
  <r>
    <s v="U0176"/>
    <x v="13"/>
    <x v="0"/>
    <x v="6"/>
    <x v="0"/>
    <x v="5"/>
    <x v="17"/>
    <n v="1977"/>
    <x v="0"/>
    <x v="1"/>
    <x v="15"/>
    <s v="AI chatbot management and customer query routing, multilingual customer response handling using AI tools, customer complaint analysis and resolution tracking"/>
    <n v="10"/>
    <n v="4.0999999999999996"/>
    <n v="3"/>
    <n v="6"/>
    <n v="0"/>
    <n v="7.3"/>
    <s v="Maybe"/>
  </r>
  <r>
    <s v="U0227"/>
    <x v="11"/>
    <x v="1"/>
    <x v="7"/>
    <x v="1"/>
    <x v="0"/>
    <x v="15"/>
    <n v="0"/>
    <x v="0"/>
    <x v="6"/>
    <x v="3"/>
    <s v="Essay structuring and outline generation, thesis statement refinement, academic paper proofreading and grammar checking, creative writing brainstorming"/>
    <n v="20"/>
    <n v="2.8"/>
    <n v="2"/>
    <n v="3"/>
    <n v="2.7"/>
    <n v="5.4"/>
    <s v="No"/>
  </r>
  <r>
    <s v="U0198"/>
    <x v="14"/>
    <x v="2"/>
    <x v="11"/>
    <x v="0"/>
    <x v="1"/>
    <x v="18"/>
    <m/>
    <x v="0"/>
    <x v="1"/>
    <x v="2"/>
    <m/>
    <m/>
    <n v="4"/>
    <n v="3"/>
    <n v="6"/>
    <n v="2.7"/>
    <n v="8"/>
    <s v="Maybe"/>
  </r>
  <r>
    <s v="U0141"/>
    <x v="14"/>
    <x v="0"/>
    <x v="0"/>
    <x v="1"/>
    <x v="4"/>
    <x v="2"/>
    <n v="0"/>
    <x v="5"/>
    <x v="2"/>
    <x v="16"/>
    <s v="Debugging Python code with AI assistants, generating boilerplate code for web projects, learning algorithms through AI-generated explanations"/>
    <n v="10"/>
    <n v="3.7"/>
    <n v="4"/>
    <n v="7"/>
    <n v="4.8"/>
    <n v="6.2"/>
    <s v="Yes"/>
  </r>
  <r>
    <s v="U0205"/>
    <x v="13"/>
    <x v="1"/>
    <x v="0"/>
    <x v="1"/>
    <x v="2"/>
    <x v="11"/>
    <n v="444"/>
    <x v="4"/>
    <x v="8"/>
    <x v="6"/>
    <s v="Analyzing complex physics problems, generating study notes from lecture content, debugging code for coursework projects, creating visual explanations of thermodynamic concepts"/>
    <n v="0"/>
    <n v="3.8"/>
    <n v="3"/>
    <n v="5"/>
    <n v="3"/>
    <n v="7.2"/>
    <s v="No"/>
  </r>
  <r>
    <s v="U0209"/>
    <x v="10"/>
    <x v="0"/>
    <x v="5"/>
    <x v="0"/>
    <x v="1"/>
    <x v="19"/>
    <n v="392"/>
    <x v="0"/>
    <x v="5"/>
    <x v="7"/>
    <s v="Generating social media captions with AI, Creating blog post drafts using language models, Editing photos and videos with AI tools, Scheduling posts across multiple platforms"/>
    <n v="10"/>
    <n v="4"/>
    <n v="2"/>
    <n v="3"/>
    <n v="4.5"/>
    <n v="7.8"/>
    <s v="Yes"/>
  </r>
  <r>
    <s v="U0149"/>
    <x v="11"/>
    <x v="0"/>
    <x v="3"/>
    <x v="1"/>
    <x v="3"/>
    <x v="2"/>
    <n v="215"/>
    <x v="0"/>
    <x v="2"/>
    <x v="17"/>
    <s v="Writing and debugging Python code, generating documentation for projects, optimizing algorithms"/>
    <n v="10"/>
    <n v="3"/>
    <n v="4"/>
    <n v="5"/>
    <n v="0"/>
    <n v="6.5"/>
    <s v="No"/>
  </r>
  <r>
    <s v="U0179"/>
    <x v="10"/>
    <x v="1"/>
    <x v="3"/>
    <x v="0"/>
    <x v="1"/>
    <x v="20"/>
    <n v="1567"/>
    <x v="6"/>
    <x v="7"/>
    <x v="18"/>
    <s v="An��lise de tend��ncias usando ferramentas de IA, extra����o de dados de fontes p��blicas, gera����o de relat��rios automatizados, s��ntese de artigos acad��micos"/>
    <n v="0"/>
    <n v="4"/>
    <n v="3"/>
    <n v="6"/>
    <n v="4.4000000000000004"/>
    <n v="8.1"/>
    <s v="No"/>
  </r>
  <r>
    <s v="U0016"/>
    <x v="11"/>
    <x v="0"/>
    <x v="2"/>
    <x v="1"/>
    <x v="3"/>
    <x v="4"/>
    <m/>
    <x v="0"/>
    <x v="8"/>
    <x v="19"/>
    <s v="Using AI to generate practice exam questions, summarizing research papers, explaining complex concepts like cellular respiration"/>
    <n v="0"/>
    <n v="8.6999999999999993"/>
    <n v="3"/>
    <n v="9"/>
    <n v="12.3"/>
    <n v="6.8"/>
    <s v="Yes"/>
  </r>
  <r>
    <s v="U0132"/>
    <x v="15"/>
    <x v="0"/>
    <x v="8"/>
    <x v="1"/>
    <x v="2"/>
    <x v="21"/>
    <n v="0"/>
    <x v="0"/>
    <x v="7"/>
    <x v="20"/>
    <s v="Literature review and source compilation, Data analysis and statistical interpretation, Essay research and citation management"/>
    <n v="0"/>
    <n v="7.2"/>
    <n v="4"/>
    <n v="8"/>
    <n v="10.7"/>
    <n v="4.8"/>
    <s v="No"/>
  </r>
  <r>
    <s v="U0008"/>
    <x v="11"/>
    <x v="1"/>
    <x v="8"/>
    <x v="1"/>
    <x v="3"/>
    <x v="15"/>
    <n v="531"/>
    <x v="0"/>
    <x v="6"/>
    <x v="21"/>
    <s v="Essay composition and structure planning, grammar checking and proofreading, research paper summarization, creative writing feedback and editing"/>
    <n v="0"/>
    <n v="6.7"/>
    <m/>
    <n v="7"/>
    <n v="12.1"/>
    <n v="7"/>
    <s v="Yes"/>
  </r>
  <r>
    <s v="U0162"/>
    <x v="16"/>
    <x v="0"/>
    <x v="9"/>
    <x v="0"/>
    <x v="1"/>
    <x v="10"/>
    <n v="258"/>
    <x v="7"/>
    <x v="3"/>
    <x v="22"/>
    <s v="Literature review automation using AI databases, conducting qualitative data analysis with AI tools, generating research reports and summaries, market research data collection and synthesis"/>
    <n v="0"/>
    <n v="4.5999999999999996"/>
    <n v="5"/>
    <n v="6"/>
    <n v="5.7"/>
    <n v="6.9"/>
    <s v="Yes"/>
  </r>
  <r>
    <s v="U0081"/>
    <x v="11"/>
    <x v="0"/>
    <x v="10"/>
    <x v="0"/>
    <x v="5"/>
    <x v="22"/>
    <n v="334"/>
    <x v="0"/>
    <x v="7"/>
    <x v="23"/>
    <s v="Literature review using AI search tools, data analysis with AI-powered statistical software, market research report generation, academic paper summarization"/>
    <n v="20"/>
    <n v="3.9"/>
    <n v="2"/>
    <n v="5"/>
    <n v="2.5"/>
    <n v="7.7"/>
    <s v="No"/>
  </r>
  <r>
    <s v="U0014"/>
    <x v="11"/>
    <x v="0"/>
    <x v="6"/>
    <x v="1"/>
    <x v="4"/>
    <x v="23"/>
    <n v="169"/>
    <x v="8"/>
    <x v="8"/>
    <x v="20"/>
    <s v="Solving physics problems with AI explanation, generating practice questions for exams, translating complex concepts into simplified notes"/>
    <n v="0"/>
    <n v="8.1"/>
    <n v="4"/>
    <n v="9"/>
    <n v="6.8"/>
    <n v="6.9"/>
    <s v="Yes"/>
  </r>
  <r>
    <s v="U0278"/>
    <x v="8"/>
    <x v="0"/>
    <x v="2"/>
    <x v="1"/>
    <x v="3"/>
    <x v="11"/>
    <n v="507"/>
    <x v="2"/>
    <x v="8"/>
    <x v="24"/>
    <s v="Generating practice problems and solutions for thermodynamics assignments, debugging Python code for finite element analysis projects, summarizing lecture notes on fluid mechanics concepts"/>
    <n v="0"/>
    <n v="4.5999999999999996"/>
    <n v="3"/>
    <n v="4"/>
    <n v="2"/>
    <n v="4.0999999999999996"/>
    <s v="Yes"/>
  </r>
  <r>
    <s v="U0102"/>
    <x v="17"/>
    <x v="1"/>
    <x v="5"/>
    <x v="1"/>
    <x v="3"/>
    <x v="24"/>
    <n v="0"/>
    <x v="4"/>
    <x v="8"/>
    <x v="7"/>
    <m/>
    <n v="0"/>
    <n v="3.3"/>
    <n v="4"/>
    <n v="5"/>
    <n v="4.3"/>
    <n v="3.2"/>
    <s v="Yes"/>
  </r>
  <r>
    <s v="U0258"/>
    <x v="5"/>
    <x v="0"/>
    <x v="12"/>
    <x v="1"/>
    <x v="3"/>
    <x v="9"/>
    <n v="63"/>
    <x v="2"/>
    <x v="7"/>
    <x v="24"/>
    <s v="Literature review and paper summarization, Data analysis and interpretation, Research proposal drafting, Scientific article finding and organization"/>
    <n v="0"/>
    <n v="3.5"/>
    <n v="3"/>
    <n v="5"/>
    <n v="3"/>
    <n v="5.4"/>
    <s v="Maybe"/>
  </r>
  <r>
    <s v="U0239"/>
    <x v="18"/>
    <x v="2"/>
    <x v="7"/>
    <x v="0"/>
    <x v="0"/>
    <x v="25"/>
    <n v="887"/>
    <x v="8"/>
    <x v="2"/>
    <x v="5"/>
    <s v="Code review and optimization using AI assistants, automated bug detection and debugging with AI tools, AI-assisted documentation generation, infrastructure code maintenance"/>
    <n v="0"/>
    <n v="5.3"/>
    <n v="3"/>
    <n v="5"/>
    <n v="5.3"/>
    <n v="6.4"/>
    <s v="Maybe"/>
  </r>
  <r>
    <s v="U0071"/>
    <x v="0"/>
    <x v="0"/>
    <x v="6"/>
    <x v="0"/>
    <x v="0"/>
    <x v="26"/>
    <n v="1699"/>
    <x v="2"/>
    <x v="4"/>
    <x v="25"/>
    <s v="Building predictive models with Python and scikit-learn, Creating business intelligence dashboards in Tableau, Performing statistical analysis on customer datasets"/>
    <n v="10"/>
    <m/>
    <n v="4"/>
    <n v="8"/>
    <n v="6.5"/>
    <n v="7.5"/>
    <s v="Yes"/>
  </r>
  <r>
    <s v="U0259"/>
    <x v="19"/>
    <x v="0"/>
    <x v="3"/>
    <x v="0"/>
    <x v="6"/>
    <x v="27"/>
    <m/>
    <x v="0"/>
    <x v="2"/>
    <x v="17"/>
    <s v="Desenvolvimento de algoritmos com assist��ncia de IA, code review automatizado com ferramentas de IA, arquitetura de sistemas de software, mentoria de equipes em pr��ticas de desenvolvimento com IA"/>
    <n v="20"/>
    <n v="4"/>
    <n v="2"/>
    <n v="5"/>
    <n v="0"/>
    <n v="10.1"/>
    <s v="Maybe"/>
  </r>
  <r>
    <s v="U0075"/>
    <x v="14"/>
    <x v="0"/>
    <x v="1"/>
    <x v="0"/>
    <x v="1"/>
    <x v="28"/>
    <n v="5260"/>
    <x v="0"/>
    <x v="6"/>
    <x v="7"/>
    <s v="Drafting blog posts and articles with AI writing assistants, using AI tools to brainstorm content ideas and outline structures, editing and refining generated content for tone and accuracy"/>
    <n v="0"/>
    <n v="3.9"/>
    <n v="4"/>
    <n v="5"/>
    <n v="5.2"/>
    <n v="6.7"/>
    <m/>
  </r>
  <r>
    <s v="U0288"/>
    <x v="7"/>
    <x v="1"/>
    <x v="7"/>
    <x v="0"/>
    <x v="0"/>
    <x v="29"/>
    <n v="513"/>
    <x v="0"/>
    <x v="2"/>
    <x v="22"/>
    <s v="Code generation and debugging using AI, automated code review and optimization, rapid prototyping using AI-assisted development frameworks, API design and documentation using AI tools"/>
    <n v="0"/>
    <n v="5.7"/>
    <n v="2"/>
    <n v="5"/>
    <n v="5.8"/>
    <n v="10.1"/>
    <s v="Maybe"/>
  </r>
  <r>
    <s v="U0271"/>
    <x v="13"/>
    <x v="2"/>
    <x v="6"/>
    <x v="0"/>
    <x v="1"/>
    <x v="12"/>
    <n v="2307"/>
    <x v="5"/>
    <x v="2"/>
    <x v="17"/>
    <s v="Code debugging and optimization using AI assistants, automated test case generation, API integration and documentation, algorithm optimization suggestions"/>
    <n v="0"/>
    <n v="4.4000000000000004"/>
    <n v="4"/>
    <n v="7"/>
    <n v="1.6"/>
    <n v="12"/>
    <s v="Yes"/>
  </r>
  <r>
    <s v="U0070"/>
    <x v="1"/>
    <x v="0"/>
    <x v="3"/>
    <x v="1"/>
    <x v="3"/>
    <x v="9"/>
    <n v="234"/>
    <x v="0"/>
    <x v="8"/>
    <x v="26"/>
    <s v="Using AI to solve physics problems, generating study summaries for calculus, translating technical documents from English to Portuguese"/>
    <n v="0"/>
    <n v="8.3000000000000007"/>
    <n v="5"/>
    <n v="9"/>
    <n v="11.4"/>
    <n v="7.2"/>
    <s v="Yes"/>
  </r>
  <r>
    <s v="U0054"/>
    <x v="20"/>
    <x v="1"/>
    <x v="6"/>
    <x v="1"/>
    <x v="4"/>
    <x v="2"/>
    <n v="206"/>
    <x v="4"/>
    <x v="2"/>
    <x v="27"/>
    <s v="Debugging code with AI assistants, Learning Python and JavaScript syntax, Solving LeetCode problems with AI explanations"/>
    <n v="20"/>
    <n v="5.5"/>
    <n v="3"/>
    <n v="5"/>
    <n v="7.3"/>
    <n v="8.6"/>
    <s v="Yes"/>
  </r>
  <r>
    <s v="U0164"/>
    <x v="16"/>
    <x v="0"/>
    <x v="10"/>
    <x v="0"/>
    <x v="0"/>
    <x v="30"/>
    <n v="384"/>
    <x v="6"/>
    <x v="7"/>
    <x v="15"/>
    <s v="Literature review automation with AI tools, data analysis and pattern recognition, research paper synthesis and summarization, hypothesis validation using machine learning models"/>
    <n v="10"/>
    <n v="3.1"/>
    <n v="3"/>
    <n v="4"/>
    <n v="1.2"/>
    <n v="7.9"/>
    <s v="No"/>
  </r>
  <r>
    <s v="U0219"/>
    <x v="9"/>
    <x v="1"/>
    <x v="0"/>
    <x v="1"/>
    <x v="0"/>
    <x v="31"/>
    <n v="206"/>
    <x v="4"/>
    <x v="2"/>
    <x v="28"/>
    <s v="Debugging Python code with AI-powered IDE plugins, Generating optimization algorithms for data structures, Writing and testing unit tests for complex modules"/>
    <n v="30"/>
    <n v="6.5"/>
    <n v="3"/>
    <n v="8"/>
    <n v="14.9"/>
    <n v="5.4"/>
    <s v="Yes"/>
  </r>
  <r>
    <s v="U0036"/>
    <x v="21"/>
    <x v="0"/>
    <x v="1"/>
    <x v="0"/>
    <x v="0"/>
    <x v="32"/>
    <n v="5669"/>
    <x v="0"/>
    <x v="6"/>
    <x v="29"/>
    <s v="Uses AI tools to generate initial content drafts, optimize SEO metadata and headlines, streamline editing and proofreading processes, manage multi-channel content calendars"/>
    <n v="0"/>
    <n v="7.3"/>
    <n v="2"/>
    <n v="7"/>
    <n v="16.3"/>
    <n v="7.4"/>
    <s v="Yes"/>
  </r>
  <r>
    <s v="U0057"/>
    <x v="17"/>
    <x v="1"/>
    <x v="5"/>
    <x v="1"/>
    <x v="4"/>
    <x v="15"/>
    <n v="198"/>
    <x v="2"/>
    <x v="6"/>
    <x v="30"/>
    <s v="Essay composition and structure planning, grammar and spelling correction, brainstorming ideas for creative writing assignments"/>
    <n v="0"/>
    <n v="6.9"/>
    <n v="2"/>
    <n v="6"/>
    <n v="7.2"/>
    <n v="7.2"/>
    <s v="Maybe"/>
  </r>
  <r>
    <s v="U0060"/>
    <x v="15"/>
    <x v="0"/>
    <x v="5"/>
    <x v="1"/>
    <x v="1"/>
    <x v="9"/>
    <n v="190"/>
    <x v="0"/>
    <x v="7"/>
    <x v="31"/>
    <s v="Literature review and paper summarization, Data analysis for research datasets, Academic paper organization and citation management"/>
    <m/>
    <n v="8.4"/>
    <n v="5"/>
    <n v="10"/>
    <n v="13.6"/>
    <n v="6.8"/>
    <s v="Yes"/>
  </r>
  <r>
    <s v="U0226"/>
    <x v="4"/>
    <x v="3"/>
    <x v="10"/>
    <x v="0"/>
    <x v="4"/>
    <x v="33"/>
    <n v="376"/>
    <x v="3"/>
    <x v="5"/>
    <x v="32"/>
    <s v="Creating engaging social media posts with AI writing tools, Generating captions and hashtags using AI, Editing and optimizing images with AI-powered design tools, Producing video content summaries and descriptions"/>
    <n v="20"/>
    <n v="3.3"/>
    <n v="4"/>
    <n v="5"/>
    <n v="3.2"/>
    <n v="11.6"/>
    <s v="Maybe"/>
  </r>
  <r>
    <s v="U0118"/>
    <x v="16"/>
    <x v="3"/>
    <x v="4"/>
    <x v="0"/>
    <x v="1"/>
    <x v="34"/>
    <n v="3477"/>
    <x v="0"/>
    <x v="5"/>
    <x v="33"/>
    <s v="Cr��ation d'articles de blog avec assistance IA, G��n��ration de contenu pour r��seaux sociaux, Optimisation SEO avec outils IA, ��dition et r��vision de textes"/>
    <n v="0"/>
    <n v="5"/>
    <n v="4"/>
    <m/>
    <n v="2.8"/>
    <n v="10.7"/>
    <s v="Yes"/>
  </r>
  <r>
    <s v="U0028"/>
    <x v="15"/>
    <x v="2"/>
    <x v="7"/>
    <x v="1"/>
    <x v="3"/>
    <x v="15"/>
    <n v="100"/>
    <x v="0"/>
    <x v="6"/>
    <x v="6"/>
    <s v="Essay drafting and outline generation, academic paper research summarization, creative writing feedback and editing"/>
    <n v="50"/>
    <n v="5.8"/>
    <n v="4"/>
    <n v="7"/>
    <m/>
    <n v="5.7"/>
    <s v="Yes"/>
  </r>
  <r>
    <s v="U0125"/>
    <x v="22"/>
    <x v="1"/>
    <x v="10"/>
    <x v="1"/>
    <x v="4"/>
    <x v="2"/>
    <n v="0"/>
    <x v="0"/>
    <x v="2"/>
    <x v="17"/>
    <s v="Debugging Python code with AI code analysis, Writing SQL queries for database projects, Generating HTML/CSS templates for web assignments"/>
    <n v="0"/>
    <n v="3.2"/>
    <n v="2"/>
    <n v="5"/>
    <n v="2.2000000000000002"/>
    <n v="8.8000000000000007"/>
    <s v="Yes"/>
  </r>
  <r>
    <s v="U0223"/>
    <x v="23"/>
    <x v="0"/>
    <x v="8"/>
    <x v="0"/>
    <x v="5"/>
    <x v="35"/>
    <n v="6197"/>
    <x v="0"/>
    <x v="6"/>
    <x v="24"/>
    <s v="AI-assisted content writing for social media and marketing campaigns, proofreading and editing copy with AI grammar tools, generating email newsletters and promotional materials"/>
    <m/>
    <n v="5.4"/>
    <n v="4"/>
    <n v="7"/>
    <n v="6"/>
    <n v="11"/>
    <s v="Yes"/>
  </r>
  <r>
    <s v="U0243"/>
    <x v="24"/>
    <x v="0"/>
    <x v="8"/>
    <x v="0"/>
    <x v="1"/>
    <x v="1"/>
    <n v="5355"/>
    <x v="4"/>
    <x v="1"/>
    <x v="34"/>
    <s v="Drafting customer responses using AI writing assistants, analyzing customer feedback with sentiment analysis tools, resolving FAQs using AI knowledge base systems, escalating complex issues to senior staff"/>
    <n v="0"/>
    <n v="8.8000000000000007"/>
    <n v="2"/>
    <n v="6"/>
    <n v="11.5"/>
    <n v="8.6999999999999993"/>
    <s v="Yes"/>
  </r>
  <r>
    <s v="U0165"/>
    <x v="8"/>
    <x v="0"/>
    <x v="3"/>
    <x v="1"/>
    <x v="4"/>
    <x v="11"/>
    <n v="86"/>
    <x v="4"/>
    <x v="8"/>
    <x v="35"/>
    <s v="Using AI to solve physics and calculus problems, generating practice exam questions, translating technical documentation from English to Portuguese"/>
    <n v="0"/>
    <n v="1.9"/>
    <n v="3"/>
    <n v="5"/>
    <n v="1.7"/>
    <m/>
    <s v="Yes"/>
  </r>
  <r>
    <s v="U0238"/>
    <x v="9"/>
    <x v="0"/>
    <x v="7"/>
    <x v="1"/>
    <x v="4"/>
    <x v="36"/>
    <n v="62"/>
    <x v="0"/>
    <x v="5"/>
    <x v="36"/>
    <s v="Creating social media graphics with AI design tools, Writing blog posts and articles with AI writing assistants, Generating video scripts and editing content with AI video tools"/>
    <n v="10"/>
    <n v="6.8"/>
    <n v="4"/>
    <n v="7"/>
    <n v="13.2"/>
    <n v="6.1"/>
    <s v="Yes"/>
  </r>
  <r>
    <s v="U0069"/>
    <x v="4"/>
    <x v="0"/>
    <x v="2"/>
    <x v="0"/>
    <x v="1"/>
    <x v="37"/>
    <n v="3337"/>
    <x v="0"/>
    <x v="3"/>
    <x v="32"/>
    <s v="Creating blog posts and web copy with AI writing assistants, editing and refining client proposals, generating social media content calendars and posts"/>
    <n v="0"/>
    <n v="3.8"/>
    <n v="4"/>
    <n v="7"/>
    <n v="2.9"/>
    <n v="7.6"/>
    <s v="Yes"/>
  </r>
  <r>
    <s v="U0092"/>
    <x v="8"/>
    <x v="0"/>
    <x v="7"/>
    <x v="1"/>
    <x v="1"/>
    <x v="2"/>
    <n v="113"/>
    <x v="2"/>
    <x v="4"/>
    <x v="2"/>
    <s v="Statistical analysis of datasets, data visualization using Python libraries, predictive modeling with machine learning algorithms, database query optimization"/>
    <n v="0"/>
    <n v="3.2"/>
    <n v="3"/>
    <n v="3"/>
    <n v="4.2"/>
    <n v="6.5"/>
    <s v="No"/>
  </r>
  <r>
    <s v="U0043"/>
    <x v="9"/>
    <x v="0"/>
    <x v="0"/>
    <x v="1"/>
    <x v="3"/>
    <x v="2"/>
    <n v="118"/>
    <x v="4"/>
    <x v="2"/>
    <x v="30"/>
    <m/>
    <n v="0"/>
    <n v="7.6"/>
    <n v="2"/>
    <n v="6"/>
    <n v="12.4"/>
    <n v="6.3"/>
    <s v="Yes"/>
  </r>
  <r>
    <s v="U0084"/>
    <x v="25"/>
    <x v="0"/>
    <x v="10"/>
    <x v="0"/>
    <x v="1"/>
    <x v="38"/>
    <n v="1104"/>
    <x v="5"/>
    <x v="4"/>
    <x v="37"/>
    <s v="Cleaning and processing customer transaction data, generating sales trend reports using Python, creating data visualizations in Power BI dashboards"/>
    <n v="20"/>
    <n v="4.9000000000000004"/>
    <n v="3"/>
    <n v="5"/>
    <n v="7.4"/>
    <n v="7.3"/>
    <s v="No"/>
  </r>
  <r>
    <s v="U0061"/>
    <x v="23"/>
    <x v="0"/>
    <x v="3"/>
    <x v="0"/>
    <x v="1"/>
    <x v="39"/>
    <n v="552"/>
    <x v="4"/>
    <x v="2"/>
    <x v="38"/>
    <s v="Usar GitHub Copilot para completar c��digo, gerar testes unit��rios com IA, otimizar algoritmos com sugest��es de IA, revisar e debugar c��digo com assistentes de IA"/>
    <n v="20"/>
    <n v="2.9"/>
    <n v="3"/>
    <n v="5"/>
    <n v="0.1"/>
    <n v="10.199999999999999"/>
    <s v="No"/>
  </r>
  <r>
    <s v="U0039"/>
    <x v="11"/>
    <x v="1"/>
    <x v="0"/>
    <x v="1"/>
    <x v="0"/>
    <x v="40"/>
    <n v="614"/>
    <x v="3"/>
    <x v="7"/>
    <x v="2"/>
    <s v="Literature review automation with AI summarization, designing research methodology frameworks, analyzing genomic datasets using machine learning models, peer review preparation assistance"/>
    <n v="20"/>
    <n v="2.5"/>
    <n v="4"/>
    <n v="6"/>
    <n v="0.7"/>
    <n v="6.6"/>
    <s v="Maybe"/>
  </r>
  <r>
    <s v="U0022"/>
    <x v="26"/>
    <x v="3"/>
    <x v="6"/>
    <x v="0"/>
    <x v="5"/>
    <x v="12"/>
    <n v="1404"/>
    <x v="0"/>
    <x v="2"/>
    <x v="3"/>
    <s v="Writing and debugging Python code using AI assistants, automating repetitive coding tasks with AI tools, code review and optimization with AI-powered suggestions"/>
    <m/>
    <n v="5.7"/>
    <n v="5"/>
    <n v="7"/>
    <n v="3.4"/>
    <n v="6.4"/>
    <s v="Yes"/>
  </r>
  <r>
    <s v="U0137"/>
    <x v="11"/>
    <x v="0"/>
    <x v="12"/>
    <x v="1"/>
    <x v="0"/>
    <x v="13"/>
    <n v="0"/>
    <x v="6"/>
    <x v="2"/>
    <x v="2"/>
    <s v="Code debugging and optimization, API development and integration, machine learning model training and implementation"/>
    <n v="20"/>
    <n v="3.3"/>
    <n v="3"/>
    <n v="5"/>
    <n v="2.6"/>
    <n v="6.2"/>
    <s v="Yes"/>
  </r>
  <r>
    <s v="U0116"/>
    <x v="20"/>
    <x v="0"/>
    <x v="6"/>
    <x v="1"/>
    <x v="3"/>
    <x v="41"/>
    <n v="79"/>
    <x v="4"/>
    <x v="5"/>
    <x v="39"/>
    <s v="AI-assisted blog writing and SEO optimization, video scriptwriting and thumbnail design generation, social media content creation and caption generation"/>
    <n v="20"/>
    <n v="4.7"/>
    <n v="4"/>
    <n v="7"/>
    <n v="8.3000000000000007"/>
    <n v="6.2"/>
    <s v="Yes"/>
  </r>
  <r>
    <s v="U0027"/>
    <x v="20"/>
    <x v="1"/>
    <x v="0"/>
    <x v="1"/>
    <x v="3"/>
    <x v="2"/>
    <n v="0"/>
    <x v="0"/>
    <x v="2"/>
    <x v="32"/>
    <s v="Debugging code with AI assistance, generating boilerplate code for projects, learning new programming concepts through AI explanations"/>
    <n v="0"/>
    <n v="4.8"/>
    <n v="4"/>
    <n v="7"/>
    <n v="2.9"/>
    <n v="8.1"/>
    <s v="Yes"/>
  </r>
  <r>
    <s v="U0268"/>
    <x v="24"/>
    <x v="2"/>
    <x v="4"/>
    <x v="1"/>
    <x v="3"/>
    <x v="4"/>
    <n v="302"/>
    <x v="4"/>
    <x v="8"/>
    <x v="18"/>
    <s v="Using AI to generate study summaries, practice exam questions, and lab report writing assistance"/>
    <n v="0"/>
    <n v="3.4"/>
    <m/>
    <n v="5"/>
    <n v="0.8"/>
    <n v="4.5"/>
    <s v="Maybe"/>
  </r>
  <r>
    <s v="U0131"/>
    <x v="2"/>
    <x v="0"/>
    <x v="1"/>
    <x v="0"/>
    <x v="5"/>
    <x v="42"/>
    <n v="5966"/>
    <x v="0"/>
    <x v="0"/>
    <x v="40"/>
    <s v="Data entry and document formatting with AI tools, scheduling meetings and managing calendar using AI assistants, generating business reports with AI summarization software, proofreading emails and correspondence using grammar AI"/>
    <n v="20"/>
    <n v="5.7"/>
    <n v="3"/>
    <n v="5"/>
    <n v="11.5"/>
    <n v="9.3000000000000007"/>
    <s v="Yes"/>
  </r>
  <r>
    <s v="U0255"/>
    <x v="10"/>
    <x v="0"/>
    <x v="8"/>
    <x v="0"/>
    <x v="0"/>
    <x v="25"/>
    <n v="3610"/>
    <x v="4"/>
    <x v="2"/>
    <x v="41"/>
    <s v="Code generation and debugging with AI assistants, automated testing and deployment pipeline optimization, machine learning model implementation and optimization"/>
    <n v="0"/>
    <n v="6.1"/>
    <n v="3"/>
    <n v="7"/>
    <n v="6.7"/>
    <n v="8.1"/>
    <s v="Yes"/>
  </r>
  <r>
    <s v="U0231"/>
    <x v="8"/>
    <x v="3"/>
    <x v="10"/>
    <x v="0"/>
    <x v="0"/>
    <x v="14"/>
    <n v="1091"/>
    <x v="8"/>
    <x v="4"/>
    <x v="27"/>
    <s v="Building predictive models with machine learning algorithms, Creating automated dashboards for business intelligence, Cleaning and transforming large datasets for analysis"/>
    <n v="0"/>
    <n v="5.4"/>
    <n v="4"/>
    <n v="5"/>
    <n v="2.6"/>
    <n v="8"/>
    <s v="Yes"/>
  </r>
  <r>
    <s v="U0067"/>
    <x v="8"/>
    <x v="1"/>
    <x v="6"/>
    <x v="1"/>
    <x v="3"/>
    <x v="43"/>
    <n v="68"/>
    <x v="0"/>
    <x v="3"/>
    <x v="18"/>
    <s v="Literature review automation, research paper summarization, data analysis and visualization, hypothesis generation"/>
    <n v="0"/>
    <n v="4.0999999999999996"/>
    <n v="4"/>
    <n v="6"/>
    <n v="2.1"/>
    <n v="8.6"/>
    <s v="No"/>
  </r>
  <r>
    <s v="U0234"/>
    <x v="15"/>
    <x v="1"/>
    <x v="10"/>
    <x v="1"/>
    <x v="1"/>
    <x v="15"/>
    <m/>
    <x v="0"/>
    <x v="6"/>
    <x v="42"/>
    <s v="Essay composition and structure planning, grammar and style checking, research paper organization, content brainstorming for creative writing assignments"/>
    <n v="0"/>
    <n v="4.7"/>
    <n v="5"/>
    <n v="8"/>
    <m/>
    <n v="5.9"/>
    <s v="Yes"/>
  </r>
  <r>
    <s v="U0184"/>
    <x v="7"/>
    <x v="0"/>
    <x v="5"/>
    <x v="0"/>
    <x v="6"/>
    <x v="44"/>
    <n v="1378"/>
    <x v="2"/>
    <x v="2"/>
    <x v="42"/>
    <m/>
    <n v="0"/>
    <n v="3.8"/>
    <n v="4"/>
    <n v="5"/>
    <n v="2.8"/>
    <n v="7.8"/>
    <s v="Yes"/>
  </r>
  <r>
    <s v="U0096"/>
    <x v="1"/>
    <x v="1"/>
    <x v="1"/>
    <x v="1"/>
    <x v="4"/>
    <x v="45"/>
    <n v="884"/>
    <x v="8"/>
    <x v="7"/>
    <x v="43"/>
    <m/>
    <n v="20"/>
    <n v="9.6999999999999993"/>
    <n v="4"/>
    <n v="10"/>
    <n v="12.8"/>
    <n v="5.8"/>
    <s v="Yes"/>
  </r>
  <r>
    <s v="U0274"/>
    <x v="27"/>
    <x v="0"/>
    <x v="1"/>
    <x v="0"/>
    <x v="1"/>
    <x v="14"/>
    <n v="3204"/>
    <x v="0"/>
    <x v="4"/>
    <x v="16"/>
    <s v="Running SQL queries and Python scripts to extract and clean datasets, Creating interactive dashboards and visualizations in Tableau, Performing statistical analysis and generating insights reports"/>
    <n v="0"/>
    <m/>
    <n v="3"/>
    <n v="6"/>
    <n v="3.6"/>
    <n v="9.1999999999999993"/>
    <s v="Yes"/>
  </r>
  <r>
    <s v="U0192"/>
    <x v="15"/>
    <x v="1"/>
    <x v="9"/>
    <x v="0"/>
    <x v="4"/>
    <x v="42"/>
    <n v="557"/>
    <x v="0"/>
    <x v="0"/>
    <x v="44"/>
    <m/>
    <n v="0"/>
    <n v="8.8000000000000007"/>
    <n v="5"/>
    <n v="9"/>
    <n v="16.2"/>
    <n v="8.5"/>
    <s v="Yes"/>
  </r>
  <r>
    <s v="U0113"/>
    <x v="28"/>
    <x v="1"/>
    <x v="11"/>
    <x v="0"/>
    <x v="0"/>
    <x v="46"/>
    <n v="6851"/>
    <x v="4"/>
    <x v="2"/>
    <x v="4"/>
    <s v="Code generation and optimization using AI assistants, automated testing and bug detection with AI tools, documentation generation from code comments, refactoring legacy code with AI suggestions"/>
    <n v="0"/>
    <n v="6"/>
    <n v="4"/>
    <n v="7"/>
    <n v="7.2"/>
    <m/>
    <s v="Yes"/>
  </r>
  <r>
    <s v="U0171"/>
    <x v="21"/>
    <x v="0"/>
    <x v="1"/>
    <x v="0"/>
    <x v="4"/>
    <x v="47"/>
    <n v="3878"/>
    <x v="8"/>
    <x v="4"/>
    <x v="45"/>
    <s v="Organizing customer datasets with Excel and Python scripts, creating automated reports using AI-powered analytics tools, cleaning and validating data quality for business intelligence dashboards"/>
    <n v="30"/>
    <n v="7.7"/>
    <n v="3"/>
    <n v="6"/>
    <n v="5.7"/>
    <n v="8.6999999999999993"/>
    <s v="No"/>
  </r>
  <r>
    <s v="U0088"/>
    <x v="13"/>
    <x v="0"/>
    <x v="6"/>
    <x v="0"/>
    <x v="4"/>
    <x v="48"/>
    <n v="1761"/>
    <x v="4"/>
    <x v="4"/>
    <x v="17"/>
    <s v="Data cleaning and validation using Python scripts, Excel spreadsheet automation with AI tools, generating automated reports from raw datasets"/>
    <n v="50"/>
    <n v="3.3"/>
    <n v="3"/>
    <n v="5"/>
    <n v="4.2"/>
    <n v="10.5"/>
    <s v="Yes"/>
  </r>
  <r>
    <s v="U0127"/>
    <x v="28"/>
    <x v="1"/>
    <x v="2"/>
    <x v="1"/>
    <x v="6"/>
    <x v="49"/>
    <n v="0"/>
    <x v="0"/>
    <x v="8"/>
    <x v="24"/>
    <s v="Literature review and paper summarization, debugging and optimizing machine learning code, generating research hypotheses and experiment design, analyzing complex datasets and statistical modeling"/>
    <n v="10"/>
    <n v="5.5"/>
    <n v="3"/>
    <n v="5"/>
    <n v="2.9"/>
    <n v="2.1"/>
    <s v="Maybe"/>
  </r>
  <r>
    <s v="U0108"/>
    <x v="14"/>
    <x v="0"/>
    <x v="6"/>
    <x v="0"/>
    <x v="0"/>
    <x v="50"/>
    <n v="2090"/>
    <x v="0"/>
    <x v="5"/>
    <x v="32"/>
    <s v="AI-assisted blog writing and SEO optimization, social media caption generation, video script creation with AI tools, content calendar planning using AI analytics"/>
    <n v="0"/>
    <n v="4.3"/>
    <n v="3"/>
    <n v="7"/>
    <n v="2.6"/>
    <n v="9.9"/>
    <s v="Yes"/>
  </r>
  <r>
    <s v="U0251"/>
    <x v="13"/>
    <x v="0"/>
    <x v="0"/>
    <x v="1"/>
    <x v="1"/>
    <x v="51"/>
    <n v="0"/>
    <x v="6"/>
    <x v="7"/>
    <x v="32"/>
    <s v="Literature review and scientific paper analysis, data analysis and statistical interpretation, hypothesis generation and research methodology planning"/>
    <n v="0"/>
    <n v="5.2"/>
    <n v="4"/>
    <n v="7"/>
    <n v="2.7"/>
    <n v="4.8"/>
    <s v="Yes"/>
  </r>
  <r>
    <s v="U0059"/>
    <x v="8"/>
    <x v="1"/>
    <x v="2"/>
    <x v="0"/>
    <x v="4"/>
    <x v="52"/>
    <n v="3546"/>
    <x v="2"/>
    <x v="1"/>
    <x v="3"/>
    <s v="Responding to customer inquiries via AI chatbots, drafting personalized support emails using AI writing assistants, resolving common technical issues with AI-guided troubleshooting scripts"/>
    <n v="0"/>
    <n v="7"/>
    <n v="4"/>
    <n v="7"/>
    <n v="3.4"/>
    <n v="6.7"/>
    <s v="Yes"/>
  </r>
  <r>
    <s v="U0248"/>
    <x v="29"/>
    <x v="0"/>
    <x v="8"/>
    <x v="0"/>
    <x v="0"/>
    <x v="53"/>
    <n v="6779"/>
    <x v="0"/>
    <x v="5"/>
    <x v="23"/>
    <s v="Generating blog content using AI writing assistants, creating social media copy with AI tools, editing and refining multimedia content with AI enhancement software, developing content calendars and briefs"/>
    <n v="0"/>
    <n v="4.8"/>
    <n v="3"/>
    <m/>
    <n v="2.4"/>
    <n v="11.2"/>
    <s v="No"/>
  </r>
  <r>
    <s v="U0107"/>
    <x v="23"/>
    <x v="0"/>
    <x v="0"/>
    <x v="0"/>
    <x v="6"/>
    <x v="54"/>
    <n v="8205"/>
    <x v="0"/>
    <x v="2"/>
    <x v="5"/>
    <s v="Code generation and debugging with AI assistants, algorithm optimization using neural networks, automated testing and code review with AI tools"/>
    <n v="10"/>
    <n v="5"/>
    <n v="4"/>
    <n v="7"/>
    <n v="1.8"/>
    <n v="8.4"/>
    <s v="Yes"/>
  </r>
  <r>
    <s v="U0194"/>
    <x v="6"/>
    <x v="1"/>
    <x v="6"/>
    <x v="0"/>
    <x v="0"/>
    <x v="55"/>
    <n v="1575"/>
    <x v="0"/>
    <x v="4"/>
    <x v="18"/>
    <s v="Building predictive models using machine learning, Processing large datasets with Python/SQL, Creating automated dashboards and reports, Performing statistical analysis on business metrics"/>
    <n v="0"/>
    <n v="3.8"/>
    <n v="4"/>
    <n v="8"/>
    <n v="0.6"/>
    <n v="8.3000000000000007"/>
    <s v="No"/>
  </r>
  <r>
    <s v="U0026"/>
    <x v="30"/>
    <x v="1"/>
    <x v="6"/>
    <x v="0"/>
    <x v="1"/>
    <x v="42"/>
    <n v="2464"/>
    <x v="4"/>
    <x v="0"/>
    <x v="12"/>
    <s v="Email management and scheduling with AI tools, Document formatting and data entry using automation software, Report generation and analysis with spreadsheet AI features"/>
    <n v="0"/>
    <n v="7.7"/>
    <n v="4"/>
    <n v="8"/>
    <n v="6.8"/>
    <n v="7.6"/>
    <s v="Yes"/>
  </r>
  <r>
    <s v="U0095"/>
    <x v="19"/>
    <x v="0"/>
    <x v="7"/>
    <x v="0"/>
    <x v="0"/>
    <x v="56"/>
    <n v="730"/>
    <x v="0"/>
    <x v="6"/>
    <x v="7"/>
    <s v="AI-assisted article writing and research, document translation and localization, automated report generation, editing and proofreading with AI tools"/>
    <n v="20"/>
    <n v="5.0999999999999996"/>
    <n v="4"/>
    <n v="5"/>
    <n v="4.7"/>
    <n v="9.6999999999999993"/>
    <s v="Maybe"/>
  </r>
  <r>
    <s v="U0120"/>
    <x v="24"/>
    <x v="1"/>
    <x v="6"/>
    <x v="1"/>
    <x v="3"/>
    <x v="57"/>
    <n v="157"/>
    <x v="0"/>
    <x v="8"/>
    <x v="15"/>
    <s v="Using AI to solve complex circuit problems, generating practice exam questions with solutions, summarizing technical textbooks and research papers"/>
    <n v="25"/>
    <n v="3.7"/>
    <n v="4"/>
    <n v="6"/>
    <n v="0"/>
    <n v="6.4"/>
    <m/>
  </r>
  <r>
    <s v="U0049"/>
    <x v="28"/>
    <x v="0"/>
    <x v="0"/>
    <x v="0"/>
    <x v="2"/>
    <x v="58"/>
    <n v="2945"/>
    <x v="2"/>
    <x v="2"/>
    <x v="30"/>
    <s v="Writing Python scripts with AI code completion, debugging code errors using ChatGPT, generating SQL queries for database management, refactoring JavaScript functions with AI assistance"/>
    <n v="20"/>
    <n v="9.4"/>
    <n v="3"/>
    <n v="8"/>
    <n v="15.1"/>
    <n v="11.3"/>
    <s v="Yes"/>
  </r>
  <r>
    <s v="U0032"/>
    <x v="15"/>
    <x v="0"/>
    <x v="11"/>
    <x v="1"/>
    <x v="4"/>
    <x v="59"/>
    <n v="366"/>
    <x v="0"/>
    <x v="6"/>
    <x v="17"/>
    <s v="Essay structure planning, grammar and spelling correction, essay topic research, writing feedback and revision suggestions"/>
    <n v="25"/>
    <n v="4.0999999999999996"/>
    <m/>
    <n v="6"/>
    <n v="3"/>
    <n v="7.6"/>
    <s v="Yes"/>
  </r>
  <r>
    <s v="U0073"/>
    <x v="15"/>
    <x v="0"/>
    <x v="2"/>
    <x v="1"/>
    <x v="3"/>
    <x v="45"/>
    <n v="397"/>
    <x v="4"/>
    <x v="7"/>
    <x v="20"/>
    <s v="Literature review and paper summarization, Data analysis for research projects, Hypothesis generation for experiments, Academic writing and citation organization"/>
    <n v="0"/>
    <n v="9.3000000000000007"/>
    <n v="3"/>
    <n v="8"/>
    <n v="13.1"/>
    <n v="6.5"/>
    <s v="Yes"/>
  </r>
  <r>
    <s v="U0007"/>
    <x v="13"/>
    <x v="0"/>
    <x v="11"/>
    <x v="1"/>
    <x v="0"/>
    <x v="60"/>
    <n v="134"/>
    <x v="3"/>
    <x v="7"/>
    <x v="46"/>
    <s v="Literature review and paper summarization, Training neural networks for experimental validation, Data analysis and statistical modeling"/>
    <n v="20"/>
    <m/>
    <n v="2"/>
    <n v="6"/>
    <n v="5.2"/>
    <n v="6.5"/>
    <s v="Maybe"/>
  </r>
  <r>
    <s v="U0285"/>
    <x v="2"/>
    <x v="2"/>
    <x v="5"/>
    <x v="0"/>
    <x v="1"/>
    <x v="28"/>
    <n v="1354"/>
    <x v="0"/>
    <x v="6"/>
    <x v="9"/>
    <m/>
    <n v="20"/>
    <n v="6.2"/>
    <n v="2"/>
    <n v="6"/>
    <n v="12"/>
    <n v="6.9"/>
    <s v="Yes"/>
  </r>
  <r>
    <s v="U0221"/>
    <x v="24"/>
    <x v="0"/>
    <x v="3"/>
    <x v="1"/>
    <x v="4"/>
    <x v="61"/>
    <n v="191"/>
    <x v="3"/>
    <x v="2"/>
    <x v="24"/>
    <s v="Debugging Python code with AI assistance, generating boilerplate code templates, learning JavaScript syntax through AI explanations"/>
    <n v="0"/>
    <n v="4.8"/>
    <n v="4"/>
    <n v="7"/>
    <n v="4.8"/>
    <n v="5.0999999999999996"/>
    <s v="Yes"/>
  </r>
  <r>
    <s v="U0222"/>
    <x v="11"/>
    <x v="0"/>
    <x v="1"/>
    <x v="1"/>
    <x v="4"/>
    <x v="4"/>
    <n v="0"/>
    <x v="6"/>
    <x v="8"/>
    <x v="7"/>
    <s v="Using AI to explain complex concepts like cellular respiration and photosynthesis, generating practice questions for AP Biology exams, summarizing dense textbook chapters into study notes"/>
    <n v="0"/>
    <n v="4.5"/>
    <n v="3"/>
    <n v="6"/>
    <n v="4.2"/>
    <n v="7"/>
    <s v="Yes"/>
  </r>
  <r>
    <s v="U0157"/>
    <x v="20"/>
    <x v="0"/>
    <x v="6"/>
    <x v="1"/>
    <x v="3"/>
    <x v="11"/>
    <n v="126"/>
    <x v="0"/>
    <x v="7"/>
    <x v="15"/>
    <s v="Literature review and paper summarization, Research paper analysis and concept extraction, Experimental data interpretation and analysis"/>
    <n v="0"/>
    <n v="3.2"/>
    <n v="4"/>
    <n v="4"/>
    <n v="1.8"/>
    <n v="6.3"/>
    <s v="Yes"/>
  </r>
  <r>
    <s v="U0111"/>
    <x v="25"/>
    <x v="0"/>
    <x v="2"/>
    <x v="0"/>
    <x v="1"/>
    <x v="37"/>
    <n v="2688"/>
    <x v="1"/>
    <x v="6"/>
    <x v="15"/>
    <s v="Drafting marketing copy with AI assistance, generating blog outlines and article summaries, editing and refining written content using AI tools, creating email campaign content"/>
    <n v="10"/>
    <n v="3.9"/>
    <n v="3"/>
    <n v="5"/>
    <n v="1.5"/>
    <n v="9.1"/>
    <s v="No"/>
  </r>
  <r>
    <s v="U0029"/>
    <x v="3"/>
    <x v="0"/>
    <x v="4"/>
    <x v="1"/>
    <x v="3"/>
    <x v="62"/>
    <n v="0"/>
    <x v="3"/>
    <x v="8"/>
    <x v="0"/>
    <s v="Solving differential equations and linear algebra problems, generating practice exam questions and solutions, explaining complex mathematical concepts through AI-assisted tutorials"/>
    <n v="0"/>
    <n v="4.8"/>
    <n v="4"/>
    <n v="6"/>
    <n v="3"/>
    <n v="6.3"/>
    <s v="Maybe"/>
  </r>
  <r>
    <s v="U0199"/>
    <x v="0"/>
    <x v="1"/>
    <x v="10"/>
    <x v="0"/>
    <x v="0"/>
    <x v="63"/>
    <n v="1262"/>
    <x v="4"/>
    <x v="1"/>
    <x v="47"/>
    <m/>
    <n v="20"/>
    <n v="8.6999999999999993"/>
    <n v="5"/>
    <n v="8"/>
    <n v="15.6"/>
    <m/>
    <s v="Yes"/>
  </r>
  <r>
    <s v="U0083"/>
    <x v="24"/>
    <x v="1"/>
    <x v="2"/>
    <x v="0"/>
    <x v="6"/>
    <x v="55"/>
    <n v="4815"/>
    <x v="6"/>
    <x v="4"/>
    <x v="40"/>
    <s v="Building predictive machine learning models, statistical analysis of large datasets, automating data pipeline workflows, generating insights dashboards for stakeholders"/>
    <n v="20"/>
    <n v="8.6"/>
    <n v="4"/>
    <n v="8"/>
    <n v="10.7"/>
    <n v="12.4"/>
    <m/>
  </r>
  <r>
    <s v="U0286"/>
    <x v="10"/>
    <x v="0"/>
    <x v="3"/>
    <x v="0"/>
    <x v="0"/>
    <x v="64"/>
    <n v="666"/>
    <x v="0"/>
    <x v="1"/>
    <x v="33"/>
    <s v="Automatizar respostas de chatbot para FAQ, analisar sentimento de clientes em redes sociais, gerenciar tickets de suporte com prioriza����o inteligente, personalizar recomenda����es de produtos"/>
    <n v="0"/>
    <n v="5.3"/>
    <n v="4"/>
    <n v="7"/>
    <n v="5.2"/>
    <n v="8.6"/>
    <s v="Yes"/>
  </r>
  <r>
    <s v="U0237"/>
    <x v="6"/>
    <x v="0"/>
    <x v="10"/>
    <x v="0"/>
    <x v="0"/>
    <x v="65"/>
    <n v="942"/>
    <x v="2"/>
    <x v="1"/>
    <x v="32"/>
    <s v="Implementing AI chatbots for customer inquiries, analyzing customer feedback using NLP tools, managing support ticket automation with AI systems"/>
    <n v="25"/>
    <n v="2.4"/>
    <n v="5"/>
    <n v="5"/>
    <n v="4.9000000000000004"/>
    <n v="9.6999999999999993"/>
    <s v="Maybe"/>
  </r>
  <r>
    <s v="U0195"/>
    <x v="21"/>
    <x v="1"/>
    <x v="6"/>
    <x v="0"/>
    <x v="5"/>
    <x v="66"/>
    <n v="1188"/>
    <x v="2"/>
    <x v="0"/>
    <x v="18"/>
    <s v="Email automation and drafting with AI writing tools, Data entry and spreadsheet management using AI-powered tools, Document formatting and report generation, Meeting notes transcription and summarization"/>
    <n v="0"/>
    <n v="4.7"/>
    <n v="2"/>
    <n v="5"/>
    <n v="0.6"/>
    <n v="8.5"/>
    <m/>
  </r>
  <r>
    <s v="U0242"/>
    <x v="31"/>
    <x v="0"/>
    <x v="7"/>
    <x v="0"/>
    <x v="4"/>
    <x v="42"/>
    <m/>
    <x v="3"/>
    <x v="0"/>
    <x v="9"/>
    <s v="Email management and scheduling using AI, document formatting and report generation, data entry and spreadsheet organization, customer inquiry responses"/>
    <n v="10"/>
    <n v="7.7"/>
    <n v="4"/>
    <n v="7"/>
    <n v="11.4"/>
    <n v="7.8"/>
    <s v="Yes"/>
  </r>
  <r>
    <s v="U0250"/>
    <x v="11"/>
    <x v="0"/>
    <x v="9"/>
    <x v="1"/>
    <x v="0"/>
    <x v="67"/>
    <n v="137"/>
    <x v="6"/>
    <x v="3"/>
    <x v="35"/>
    <s v="Generating study summaries from lecture notes, debugging Python code for machine learning assignments, explaining complex statistical concepts and algorithms"/>
    <n v="25"/>
    <m/>
    <n v="3"/>
    <n v="6"/>
    <n v="2.2999999999999998"/>
    <m/>
    <s v="No"/>
  </r>
  <r>
    <s v="U0216"/>
    <x v="11"/>
    <x v="0"/>
    <x v="4"/>
    <x v="1"/>
    <x v="3"/>
    <x v="2"/>
    <n v="137"/>
    <x v="8"/>
    <x v="2"/>
    <x v="48"/>
    <s v="Debugging code with AI assistance, Learning new programming frameworks, Writing and testing algorithms, Code optimization and refactoring"/>
    <n v="10"/>
    <n v="2.5"/>
    <n v="4"/>
    <n v="5"/>
    <n v="4.0999999999999996"/>
    <n v="5.9"/>
    <s v="Yes"/>
  </r>
  <r>
    <s v="U0193"/>
    <x v="4"/>
    <x v="0"/>
    <x v="5"/>
    <x v="0"/>
    <x v="0"/>
    <x v="68"/>
    <n v="1141"/>
    <x v="1"/>
    <x v="1"/>
    <x v="38"/>
    <s v="Manages AI-powered chatbot responses for customer inquiries, Analyzes customer sentiment using NLP tools, Optimizes support ticket routing with machine learning algorithms, Trains and monitors AI systems for quality assurance"/>
    <n v="10"/>
    <n v="5.8"/>
    <n v="4"/>
    <n v="8"/>
    <n v="2.7"/>
    <n v="8.6999999999999993"/>
    <s v="Yes"/>
  </r>
  <r>
    <s v="U0037"/>
    <x v="32"/>
    <x v="1"/>
    <x v="3"/>
    <x v="0"/>
    <x v="5"/>
    <x v="9"/>
    <n v="418"/>
    <x v="0"/>
    <x v="6"/>
    <x v="7"/>
    <s v="Drafting advertising copy with AI assistance, Proofreading and editing marketing materials, Generating content ideas for campaigns using AI tools"/>
    <m/>
    <n v="4.9000000000000004"/>
    <n v="4"/>
    <n v="5"/>
    <n v="4.9000000000000004"/>
    <n v="8.5"/>
    <s v="No"/>
  </r>
  <r>
    <s v="U0257"/>
    <x v="33"/>
    <x v="2"/>
    <x v="3"/>
    <x v="0"/>
    <x v="4"/>
    <x v="69"/>
    <n v="1002"/>
    <x v="1"/>
    <x v="2"/>
    <x v="34"/>
    <s v="Utilizar GitHub Copilot para autocompletar c��digo, usar ChatGPT para debugar erros em Python, aplicar IA para gerar testes automatizados"/>
    <n v="0"/>
    <n v="7.4"/>
    <n v="4"/>
    <n v="7"/>
    <n v="7.9"/>
    <n v="8.8000000000000007"/>
    <s v="Yes"/>
  </r>
  <r>
    <s v="U0143"/>
    <x v="20"/>
    <x v="1"/>
    <x v="7"/>
    <x v="1"/>
    <x v="3"/>
    <x v="70"/>
    <n v="0"/>
    <x v="3"/>
    <x v="5"/>
    <x v="37"/>
    <s v="AI-assisted blog writing and SEO optimization, social media caption generation, video script composition, graphic design concept ideation"/>
    <n v="10"/>
    <n v="6.5"/>
    <n v="3"/>
    <n v="6"/>
    <n v="7.2"/>
    <n v="4.5999999999999996"/>
    <s v="Yes"/>
  </r>
  <r>
    <s v="U0086"/>
    <x v="11"/>
    <x v="1"/>
    <x v="7"/>
    <x v="0"/>
    <x v="1"/>
    <x v="28"/>
    <n v="965"/>
    <x v="5"/>
    <x v="6"/>
    <x v="49"/>
    <s v="Blog post creation using AI writing assistants, social media caption generation, email newsletter drafting, proofreading and editing with grammar tools"/>
    <n v="0"/>
    <n v="6.6"/>
    <n v="4"/>
    <n v="6"/>
    <n v="7.7"/>
    <n v="9.6"/>
    <s v="Yes"/>
  </r>
  <r>
    <s v="U0161"/>
    <x v="28"/>
    <x v="0"/>
    <x v="2"/>
    <x v="0"/>
    <x v="0"/>
    <x v="63"/>
    <n v="6171"/>
    <x v="4"/>
    <x v="1"/>
    <x v="24"/>
    <s v="Respond to customer inquiries using AI chatbots, analyze sentiment in support tickets with NLP tools, draft personalized customer responses, resolve issues through AI-assisted knowledge bases"/>
    <n v="0"/>
    <n v="3.7"/>
    <n v="4"/>
    <n v="5"/>
    <n v="0.8"/>
    <n v="7.6"/>
    <s v="Maybe"/>
  </r>
  <r>
    <s v="U0214"/>
    <x v="17"/>
    <x v="0"/>
    <x v="5"/>
    <x v="1"/>
    <x v="3"/>
    <x v="15"/>
    <n v="192"/>
    <x v="0"/>
    <x v="6"/>
    <x v="50"/>
    <s v="Essay composition and refinement, Research paper writing and citation organization, Creative story development and editing"/>
    <n v="0"/>
    <n v="6.5"/>
    <n v="4"/>
    <n v="9"/>
    <n v="7"/>
    <n v="7.6"/>
    <s v="Yes"/>
  </r>
  <r>
    <s v="U0089"/>
    <x v="20"/>
    <x v="1"/>
    <x v="1"/>
    <x v="1"/>
    <x v="0"/>
    <x v="71"/>
    <n v="0"/>
    <x v="0"/>
    <x v="2"/>
    <x v="35"/>
    <s v="Debugging Python code with AI pair programming, generating neural network architectures, optimizing algorithm efficiency"/>
    <n v="0"/>
    <n v="1.8"/>
    <n v="3"/>
    <n v="5"/>
    <n v="1.2"/>
    <n v="5.6"/>
    <s v="Yes"/>
  </r>
  <r>
    <s v="U0181"/>
    <x v="32"/>
    <x v="0"/>
    <x v="11"/>
    <x v="0"/>
    <x v="1"/>
    <x v="72"/>
    <n v="4964"/>
    <x v="4"/>
    <x v="5"/>
    <x v="18"/>
    <s v="Creating website copy and blog articles with AI writing assistants, generating social media posts and captions, editing and optimizing content for SEO"/>
    <n v="20"/>
    <n v="4.3"/>
    <n v="4"/>
    <m/>
    <n v="3.6"/>
    <n v="7.3"/>
    <s v="Maybe"/>
  </r>
  <r>
    <s v="U0154"/>
    <x v="15"/>
    <x v="0"/>
    <x v="7"/>
    <x v="1"/>
    <x v="1"/>
    <x v="13"/>
    <n v="83"/>
    <x v="3"/>
    <x v="8"/>
    <x v="23"/>
    <m/>
    <n v="20"/>
    <n v="6.1"/>
    <n v="3"/>
    <n v="5"/>
    <n v="2.2999999999999998"/>
    <n v="6.4"/>
    <s v="Maybe"/>
  </r>
  <r>
    <s v="U0099"/>
    <x v="34"/>
    <x v="1"/>
    <x v="8"/>
    <x v="1"/>
    <x v="3"/>
    <x v="11"/>
    <n v="578"/>
    <x v="0"/>
    <x v="8"/>
    <x v="51"/>
    <s v="Explaining complex physics concepts, Generating practice problems with solutions, Debugging MATLAB code for simulations"/>
    <n v="0"/>
    <n v="7.5"/>
    <n v="3"/>
    <n v="8"/>
    <n v="7.9"/>
    <n v="5.3"/>
    <s v="Yes"/>
  </r>
  <r>
    <s v="U0030"/>
    <x v="7"/>
    <x v="0"/>
    <x v="1"/>
    <x v="0"/>
    <x v="6"/>
    <x v="73"/>
    <n v="9938"/>
    <x v="3"/>
    <x v="3"/>
    <x v="3"/>
    <s v="AI-powered chatbot configuration and training, customer sentiment analysis using NLP models, automated ticket classification and routing, customer feedback analysis and reporting"/>
    <n v="0"/>
    <n v="5.8"/>
    <m/>
    <n v="5"/>
    <n v="7.1"/>
    <n v="7.6"/>
    <s v="No"/>
  </r>
  <r>
    <s v="U0233"/>
    <x v="35"/>
    <x v="2"/>
    <x v="3"/>
    <x v="0"/>
    <x v="1"/>
    <x v="74"/>
    <n v="1469"/>
    <x v="8"/>
    <x v="1"/>
    <x v="33"/>
    <s v="Implementar chatbots para respostas autom��ticas, supervisionar equipe de suporte via AI analytics, analisar satisfa����o de clientes com ferramentas de IA"/>
    <n v="0"/>
    <n v="5.7"/>
    <n v="2"/>
    <n v="3"/>
    <n v="1.3"/>
    <n v="7.1"/>
    <s v="Yes"/>
  </r>
  <r>
    <s v="U0076"/>
    <x v="1"/>
    <x v="1"/>
    <x v="5"/>
    <x v="1"/>
    <x v="0"/>
    <x v="75"/>
    <n v="130"/>
    <x v="3"/>
    <x v="3"/>
    <x v="27"/>
    <s v="Essay structuring and outlining, narrative development and storytelling, grammar checking and style refinement, research paper organization"/>
    <n v="20"/>
    <n v="4.8"/>
    <n v="4"/>
    <n v="8"/>
    <n v="4.7"/>
    <n v="3.2"/>
    <s v="Yes"/>
  </r>
  <r>
    <s v="U0011"/>
    <x v="11"/>
    <x v="0"/>
    <x v="12"/>
    <x v="0"/>
    <x v="1"/>
    <x v="1"/>
    <n v="5268"/>
    <x v="2"/>
    <x v="1"/>
    <x v="6"/>
    <s v="AI chatbot response review and optimization, automated ticket categorization and routing, customer sentiment analysis using AI tools, knowledge base article generation"/>
    <n v="0"/>
    <n v="2.4"/>
    <n v="4"/>
    <m/>
    <n v="0.4"/>
    <n v="8.8000000000000007"/>
    <s v="No"/>
  </r>
  <r>
    <s v="U0093"/>
    <x v="11"/>
    <x v="1"/>
    <x v="1"/>
    <x v="1"/>
    <x v="3"/>
    <x v="2"/>
    <n v="221"/>
    <x v="7"/>
    <x v="2"/>
    <x v="32"/>
    <s v="Debugging code with AI assistance, generating boilerplate code for projects, learning new programming concepts through AI explanations, optimizing algorithms"/>
    <n v="25"/>
    <n v="4.5"/>
    <n v="2"/>
    <n v="4"/>
    <n v="3.8"/>
    <n v="6.3"/>
    <s v="No"/>
  </r>
  <r>
    <s v="U0017"/>
    <x v="0"/>
    <x v="3"/>
    <x v="7"/>
    <x v="1"/>
    <x v="2"/>
    <x v="13"/>
    <n v="67"/>
    <x v="0"/>
    <x v="2"/>
    <x v="35"/>
    <s v="Debugging code with AI assistance, generating code snippets for assignments, learning programming concepts through AI-powered tutorials"/>
    <n v="20"/>
    <n v="2.9"/>
    <n v="3"/>
    <n v="3"/>
    <n v="0.8"/>
    <n v="5.6"/>
    <s v="No"/>
  </r>
  <r>
    <s v="U0100"/>
    <x v="20"/>
    <x v="0"/>
    <x v="1"/>
    <x v="1"/>
    <x v="2"/>
    <x v="67"/>
    <n v="698"/>
    <x v="4"/>
    <x v="7"/>
    <x v="6"/>
    <s v="Literature review automation, research paper summarization, data analysis and visualization, academic source discovery and organization"/>
    <n v="0"/>
    <n v="3.7"/>
    <n v="3"/>
    <n v="4"/>
    <n v="1.7"/>
    <n v="4.7"/>
    <s v="No"/>
  </r>
  <r>
    <s v="U0189"/>
    <x v="8"/>
    <x v="0"/>
    <x v="1"/>
    <x v="1"/>
    <x v="3"/>
    <x v="67"/>
    <n v="600"/>
    <x v="0"/>
    <x v="8"/>
    <x v="35"/>
    <s v="Using ChatGPT to explain statistical concepts, generating practice problems with Python code examples, summarizing research papers for assignments"/>
    <n v="25"/>
    <n v="2.9"/>
    <n v="4"/>
    <n v="4"/>
    <n v="4.5999999999999996"/>
    <n v="4.9000000000000004"/>
    <s v="No"/>
  </r>
  <r>
    <s v="U0063"/>
    <x v="13"/>
    <x v="3"/>
    <x v="5"/>
    <x v="1"/>
    <x v="4"/>
    <x v="15"/>
    <n v="63"/>
    <x v="3"/>
    <x v="6"/>
    <x v="52"/>
    <s v="Essay drafting and brainstorming, grammar checking and proofreading, creative writing prompt generation"/>
    <n v="0"/>
    <n v="7"/>
    <n v="4"/>
    <n v="9"/>
    <n v="10.5"/>
    <n v="6.4"/>
    <s v="Yes"/>
  </r>
  <r>
    <s v="U0047"/>
    <x v="22"/>
    <x v="1"/>
    <x v="5"/>
    <x v="1"/>
    <x v="6"/>
    <x v="76"/>
    <n v="0"/>
    <x v="4"/>
    <x v="2"/>
    <x v="10"/>
    <s v="Debugging code with AI assistance, Generating boilerplate code and snippets, Optimizing algorithms and performance"/>
    <n v="0"/>
    <m/>
    <n v="2"/>
    <n v="3"/>
    <n v="0"/>
    <n v="3.7"/>
    <s v="No"/>
  </r>
  <r>
    <s v="U0144"/>
    <x v="4"/>
    <x v="1"/>
    <x v="1"/>
    <x v="0"/>
    <x v="1"/>
    <x v="12"/>
    <n v="7739"/>
    <x v="0"/>
    <x v="2"/>
    <x v="33"/>
    <s v="Writing and debugging Python code using GitHub Copilot, generating SQL queries with AI assistants, code optimization and refactoring suggestions"/>
    <n v="0"/>
    <n v="5.0999999999999996"/>
    <n v="3"/>
    <n v="6"/>
    <n v="5.6"/>
    <n v="5.0999999999999996"/>
    <s v="No"/>
  </r>
  <r>
    <s v="U0244"/>
    <x v="22"/>
    <x v="3"/>
    <x v="1"/>
    <x v="1"/>
    <x v="0"/>
    <x v="67"/>
    <n v="520"/>
    <x v="0"/>
    <x v="8"/>
    <x v="8"/>
    <s v="Generating practice problem sets, debugging Python code, summarizing research papers, creating study guides for exams"/>
    <n v="0"/>
    <n v="5.7"/>
    <n v="4"/>
    <n v="7"/>
    <n v="8.4"/>
    <n v="5.4"/>
    <s v="Yes"/>
  </r>
  <r>
    <s v="U0001"/>
    <x v="14"/>
    <x v="1"/>
    <x v="9"/>
    <x v="0"/>
    <x v="5"/>
    <x v="14"/>
    <n v="898"/>
    <x v="0"/>
    <x v="4"/>
    <x v="23"/>
    <s v="Analyzing customer sales trends with Python, generating automated reports using Power BI, cleaning and organizing spreadsheet data"/>
    <n v="0"/>
    <n v="4.5"/>
    <n v="4"/>
    <n v="5"/>
    <n v="4.9000000000000004"/>
    <n v="6.4"/>
    <s v="Yes"/>
  </r>
  <r>
    <s v="U0236"/>
    <x v="36"/>
    <x v="0"/>
    <x v="6"/>
    <x v="0"/>
    <x v="0"/>
    <x v="77"/>
    <n v="1057"/>
    <x v="0"/>
    <x v="7"/>
    <x v="0"/>
    <s v="Literature review using AI-powered academic databases, predictive data analysis with machine learning algorithms, research paper summarization and content extraction, hypothesis validation through automated statistical modeling"/>
    <n v="25"/>
    <n v="5.2"/>
    <n v="5"/>
    <n v="8"/>
    <n v="5.7"/>
    <n v="7.5"/>
    <s v="No"/>
  </r>
  <r>
    <s v="U0052"/>
    <x v="9"/>
    <x v="0"/>
    <x v="4"/>
    <x v="1"/>
    <x v="4"/>
    <x v="21"/>
    <n v="221"/>
    <x v="2"/>
    <x v="7"/>
    <x v="53"/>
    <s v="Literature review organization, Academic paper summarization, Statistical data analysis, Research source evaluation"/>
    <n v="10"/>
    <n v="8.3000000000000007"/>
    <n v="2"/>
    <n v="6"/>
    <n v="14.2"/>
    <n v="4.8"/>
    <s v="No"/>
  </r>
  <r>
    <s v="U0024"/>
    <x v="11"/>
    <x v="0"/>
    <x v="1"/>
    <x v="1"/>
    <x v="1"/>
    <x v="70"/>
    <n v="237"/>
    <x v="6"/>
    <x v="5"/>
    <x v="33"/>
    <s v="Writing social media captions and posts, Generating video scripts and outlines, Creating blog post ideas and content drafts"/>
    <n v="0"/>
    <n v="4.5"/>
    <n v="4"/>
    <n v="5"/>
    <n v="2"/>
    <m/>
    <s v="Yes"/>
  </r>
  <r>
    <s v="U0006"/>
    <x v="24"/>
    <x v="1"/>
    <x v="3"/>
    <x v="0"/>
    <x v="1"/>
    <x v="78"/>
    <n v="1194"/>
    <x v="3"/>
    <x v="3"/>
    <x v="42"/>
    <s v="Generating social media posts with AI writing tools, creating blog content and SEO optimization, producing video scripts and editing with AI assistance, designing graphics and visual content using AI image generators"/>
    <n v="0"/>
    <n v="5.4"/>
    <n v="2"/>
    <n v="6"/>
    <n v="2"/>
    <n v="9.8000000000000007"/>
    <s v="Yes"/>
  </r>
  <r>
    <s v="U0187"/>
    <x v="9"/>
    <x v="1"/>
    <x v="7"/>
    <x v="1"/>
    <x v="3"/>
    <x v="2"/>
    <n v="0"/>
    <x v="7"/>
    <x v="2"/>
    <x v="54"/>
    <s v="Debugging Python code, generating SQL queries, writing HTML/CSS for web projects, optimizing algorithm efficiency"/>
    <n v="20"/>
    <n v="6.6"/>
    <n v="2"/>
    <n v="4"/>
    <m/>
    <n v="5.5"/>
    <m/>
  </r>
  <r>
    <s v="U0056"/>
    <x v="21"/>
    <x v="1"/>
    <x v="5"/>
    <x v="0"/>
    <x v="5"/>
    <x v="79"/>
    <n v="874"/>
    <x v="0"/>
    <x v="2"/>
    <x v="24"/>
    <s v="Using AI code generation tools to write HTML/CSS templates, debugging PHP code with AI assistance, automating SQL query optimization for database functions"/>
    <n v="0"/>
    <n v="5.0999999999999996"/>
    <n v="4"/>
    <n v="7"/>
    <n v="4.9000000000000004"/>
    <n v="8.3000000000000007"/>
    <s v="Yes"/>
  </r>
  <r>
    <s v="U0182"/>
    <x v="1"/>
    <x v="0"/>
    <x v="10"/>
    <x v="1"/>
    <x v="4"/>
    <x v="15"/>
    <n v="0"/>
    <x v="6"/>
    <x v="6"/>
    <x v="55"/>
    <s v="Essay drafting and editing, creative story development, grammar checking and proofreading"/>
    <n v="25"/>
    <n v="8.6"/>
    <n v="3"/>
    <n v="9"/>
    <n v="15.2"/>
    <n v="5.7"/>
    <s v="Yes"/>
  </r>
  <r>
    <s v="U0078"/>
    <x v="8"/>
    <x v="1"/>
    <x v="5"/>
    <x v="1"/>
    <x v="3"/>
    <x v="24"/>
    <n v="106"/>
    <x v="0"/>
    <x v="4"/>
    <x v="40"/>
    <s v="Data cleaning and preprocessing, Statistical analysis and visualization, Building predictive models with machine learning algorithms"/>
    <n v="20"/>
    <n v="5.5"/>
    <n v="4"/>
    <n v="6"/>
    <n v="8.1999999999999993"/>
    <n v="8.1"/>
    <s v="Maybe"/>
  </r>
  <r>
    <s v="U0041"/>
    <x v="34"/>
    <x v="1"/>
    <x v="7"/>
    <x v="1"/>
    <x v="3"/>
    <x v="70"/>
    <n v="74"/>
    <x v="0"/>
    <x v="5"/>
    <x v="24"/>
    <s v="AI-powered social media content generation, blog post writing and SEO optimization, graphic design ideation with AI tools, video script creation and editing"/>
    <n v="0"/>
    <m/>
    <n v="4"/>
    <n v="7"/>
    <n v="1.4"/>
    <n v="7.4"/>
    <s v="Yes"/>
  </r>
  <r>
    <s v="U0230"/>
    <x v="6"/>
    <x v="1"/>
    <x v="11"/>
    <x v="0"/>
    <x v="4"/>
    <x v="80"/>
    <n v="3054"/>
    <x v="0"/>
    <x v="1"/>
    <x v="5"/>
    <s v="Automatisierte E-Mail-Beantwortung mit KI-Chatbots, Ticketklassifizierung und Priorisierung, Live-Chat-Support mit KI-Textvorschl��gen, Kundenprobleme analysieren und L��sungen dokumentieren"/>
    <n v="0"/>
    <n v="4"/>
    <n v="2"/>
    <n v="3"/>
    <n v="7.1"/>
    <n v="7.6"/>
    <s v="No"/>
  </r>
  <r>
    <s v="U0178"/>
    <x v="8"/>
    <x v="0"/>
    <x v="11"/>
    <x v="1"/>
    <x v="1"/>
    <x v="2"/>
    <n v="442"/>
    <x v="0"/>
    <x v="2"/>
    <x v="2"/>
    <m/>
    <n v="0"/>
    <n v="3.6"/>
    <n v="2"/>
    <n v="5"/>
    <n v="0"/>
    <n v="5.6"/>
    <s v="Yes"/>
  </r>
  <r>
    <s v="U0272"/>
    <x v="11"/>
    <x v="1"/>
    <x v="6"/>
    <x v="1"/>
    <x v="3"/>
    <x v="67"/>
    <n v="77"/>
    <x v="5"/>
    <x v="7"/>
    <x v="5"/>
    <s v="Literature review and survey compilation, Statistical data analysis and visualization, Research paper summarization and citation tracking"/>
    <n v="0"/>
    <n v="3.4"/>
    <n v="2"/>
    <n v="4"/>
    <n v="2.2000000000000002"/>
    <n v="8"/>
    <s v="No"/>
  </r>
  <r>
    <s v="U0253"/>
    <x v="15"/>
    <x v="0"/>
    <x v="2"/>
    <x v="0"/>
    <x v="1"/>
    <x v="1"/>
    <n v="6705"/>
    <x v="7"/>
    <x v="1"/>
    <x v="56"/>
    <s v="Responding to customer inquiries using AI-powered chatbots, analyzing customer feedback with sentiment analysis tools, drafting personalized support responses, resolving billing issues"/>
    <n v="20"/>
    <n v="7.7"/>
    <n v="5"/>
    <n v="9"/>
    <m/>
    <n v="11.6"/>
    <s v="Yes"/>
  </r>
  <r>
    <s v="U0045"/>
    <x v="7"/>
    <x v="0"/>
    <x v="6"/>
    <x v="0"/>
    <x v="1"/>
    <x v="81"/>
    <n v="987"/>
    <x v="0"/>
    <x v="2"/>
    <x v="5"/>
    <s v="Code review and optimization using AI assistants, debugging complex algorithms with AI-powered tools, automated testing and code generation, documentation writing with AI support"/>
    <n v="0"/>
    <n v="4.2"/>
    <n v="3"/>
    <n v="6"/>
    <n v="1.8"/>
    <n v="7.6"/>
    <s v="Maybe"/>
  </r>
  <r>
    <s v="U0042"/>
    <x v="11"/>
    <x v="1"/>
    <x v="0"/>
    <x v="1"/>
    <x v="4"/>
    <x v="21"/>
    <n v="109"/>
    <x v="0"/>
    <x v="8"/>
    <x v="17"/>
    <s v="Using AI to summarize lecture notes, generating practice exam questions, researching case studies for assignments"/>
    <n v="25"/>
    <n v="2.1"/>
    <n v="4"/>
    <n v="6"/>
    <n v="0.1"/>
    <n v="2.2999999999999998"/>
    <s v="No"/>
  </r>
  <r>
    <s v="U0150"/>
    <x v="26"/>
    <x v="0"/>
    <x v="10"/>
    <x v="0"/>
    <x v="1"/>
    <x v="28"/>
    <n v="889"/>
    <x v="0"/>
    <x v="6"/>
    <x v="49"/>
    <s v="Drafting blog posts and articles using AI writing assistants, Editing and proofreading client documents with AI tools, Creating marketing copy and social media content"/>
    <n v="0"/>
    <n v="7.8"/>
    <n v="4"/>
    <n v="7"/>
    <n v="6.5"/>
    <n v="8.9"/>
    <s v="Yes"/>
  </r>
  <r>
    <s v="U0023"/>
    <x v="9"/>
    <x v="0"/>
    <x v="12"/>
    <x v="1"/>
    <x v="4"/>
    <x v="15"/>
    <n v="59"/>
    <x v="0"/>
    <x v="6"/>
    <x v="52"/>
    <s v="Essay structuring and outlining, grammar checking and proofreading, research paper organization, creative writing brainstorming"/>
    <n v="25"/>
    <n v="4.5"/>
    <n v="4"/>
    <n v="7"/>
    <n v="4.9000000000000004"/>
    <n v="8.4"/>
    <s v="Yes"/>
  </r>
  <r>
    <s v="U0126"/>
    <x v="37"/>
    <x v="3"/>
    <x v="3"/>
    <x v="0"/>
    <x v="0"/>
    <x v="82"/>
    <n v="2116"/>
    <x v="4"/>
    <x v="7"/>
    <x v="35"/>
    <s v="An��lise de grandes volumes de dados com modelos de machine learning, Desenvolvimento de algoritmos para processamento de linguagem natural, Otimiza����o de modelos preditivos para pesquisa acad��mica"/>
    <n v="0"/>
    <n v="3.9"/>
    <n v="2"/>
    <n v="4"/>
    <n v="1.6"/>
    <n v="8.3000000000000007"/>
    <s v="Yes"/>
  </r>
  <r>
    <s v="U0119"/>
    <x v="14"/>
    <x v="0"/>
    <x v="5"/>
    <x v="0"/>
    <x v="1"/>
    <x v="38"/>
    <n v="765"/>
    <x v="6"/>
    <x v="4"/>
    <x v="57"/>
    <s v="Analyzing customer behavior patterns using Python and Pandas, Creating automated dashboards with Power BI, Mining sales data to identify trends and anomalies"/>
    <n v="0"/>
    <n v="6.6"/>
    <n v="4"/>
    <n v="9"/>
    <n v="9.4"/>
    <n v="11.3"/>
    <s v="Yes"/>
  </r>
  <r>
    <s v="U0082"/>
    <x v="32"/>
    <x v="0"/>
    <x v="8"/>
    <x v="0"/>
    <x v="1"/>
    <x v="83"/>
    <n v="7178"/>
    <x v="0"/>
    <x v="6"/>
    <x v="23"/>
    <s v="Drafting technical documentation with AI assistance, editing and refining content for clarity, generating user guides and manuals, collaborating with teams on writing projects"/>
    <m/>
    <n v="4.8"/>
    <n v="3"/>
    <n v="5"/>
    <n v="2"/>
    <n v="5.9"/>
    <s v="No"/>
  </r>
  <r>
    <s v="U0101"/>
    <x v="9"/>
    <x v="1"/>
    <x v="1"/>
    <x v="1"/>
    <x v="3"/>
    <x v="4"/>
    <n v="98"/>
    <x v="6"/>
    <x v="3"/>
    <x v="4"/>
    <s v="Literature review automation, data analysis for lab experiments, peer-reviewed article summarization, research paper writing assistance"/>
    <n v="0"/>
    <n v="6.2"/>
    <n v="4"/>
    <n v="7"/>
    <n v="4.3"/>
    <n v="4.5999999999999996"/>
    <s v="Yes"/>
  </r>
  <r>
    <s v="U0074"/>
    <x v="27"/>
    <x v="0"/>
    <x v="10"/>
    <x v="0"/>
    <x v="4"/>
    <x v="22"/>
    <n v="488"/>
    <x v="7"/>
    <x v="7"/>
    <x v="6"/>
    <s v="Literature review compilation, data collection and organization, competitor analysis, market trend research"/>
    <n v="20"/>
    <n v="3.4"/>
    <n v="3"/>
    <m/>
    <n v="2.9"/>
    <n v="6.8"/>
    <s v="Maybe"/>
  </r>
  <r>
    <s v="U0148"/>
    <x v="1"/>
    <x v="0"/>
    <x v="7"/>
    <x v="1"/>
    <x v="1"/>
    <x v="23"/>
    <n v="75"/>
    <x v="6"/>
    <x v="8"/>
    <x v="58"/>
    <s v="Using AI to generate study notes from textbooks, getting help with math problem solutions, practicing English language comprehension with AI writing feedback"/>
    <n v="0"/>
    <n v="6.1"/>
    <n v="2"/>
    <n v="5"/>
    <n v="12.1"/>
    <m/>
    <s v="No"/>
  </r>
  <r>
    <s v="U0279"/>
    <x v="2"/>
    <x v="1"/>
    <x v="8"/>
    <x v="0"/>
    <x v="1"/>
    <x v="81"/>
    <n v="6399"/>
    <x v="0"/>
    <x v="2"/>
    <x v="32"/>
    <s v="Code review and debugging using AI assistants, automated testing script generation, documentation and comment generation, API integration optimization"/>
    <n v="20"/>
    <n v="3.1"/>
    <n v="3"/>
    <n v="4"/>
    <n v="4.3"/>
    <n v="8.1"/>
    <s v="No"/>
  </r>
  <r>
    <s v="U0004"/>
    <x v="17"/>
    <x v="1"/>
    <x v="6"/>
    <x v="1"/>
    <x v="3"/>
    <x v="24"/>
    <n v="66"/>
    <x v="0"/>
    <x v="3"/>
    <x v="59"/>
    <s v="Using AI for coding homework assistance, practice problem solutions, debugging Python scripts, studying for Data Structures exams"/>
    <n v="20"/>
    <n v="4.0999999999999996"/>
    <m/>
    <n v="7"/>
    <n v="5.6"/>
    <n v="6.3"/>
    <s v="Yes"/>
  </r>
  <r>
    <s v="U0166"/>
    <x v="15"/>
    <x v="0"/>
    <x v="8"/>
    <x v="1"/>
    <x v="3"/>
    <x v="84"/>
    <n v="133"/>
    <x v="0"/>
    <x v="8"/>
    <x v="6"/>
    <s v="Using AI to generate study summaries of complex biochemical pathways, asking ChatGPT to explain lab report findings, generating practice exam questions for molecular biology assessments"/>
    <n v="0"/>
    <n v="2.6"/>
    <n v="4"/>
    <n v="7"/>
    <n v="5.3"/>
    <n v="7.1"/>
    <s v="Yes"/>
  </r>
  <r>
    <s v="U0224"/>
    <x v="5"/>
    <x v="0"/>
    <x v="6"/>
    <x v="1"/>
    <x v="0"/>
    <x v="85"/>
    <n v="96"/>
    <x v="0"/>
    <x v="8"/>
    <x v="18"/>
    <s v="Using AI for solving complex physics problems, generating practice questions for JEE preparation, translating physics concepts into simpler explanations"/>
    <n v="0"/>
    <n v="4.3"/>
    <n v="4"/>
    <n v="7"/>
    <n v="0"/>
    <m/>
    <s v="Yes"/>
  </r>
  <r>
    <s v="U0277"/>
    <x v="11"/>
    <x v="1"/>
    <x v="0"/>
    <x v="1"/>
    <x v="1"/>
    <x v="15"/>
    <n v="504"/>
    <x v="0"/>
    <x v="3"/>
    <x v="17"/>
    <s v="Essay structuring and outlining, grammar and clarity checking, creative writing feedback and refinement, research paper organization"/>
    <n v="20"/>
    <n v="1.9"/>
    <n v="3"/>
    <n v="4"/>
    <n v="0"/>
    <n v="4.5"/>
    <s v="Yes"/>
  </r>
  <r>
    <s v="U0129"/>
    <x v="13"/>
    <x v="1"/>
    <x v="7"/>
    <x v="1"/>
    <x v="2"/>
    <x v="15"/>
    <n v="95"/>
    <x v="6"/>
    <x v="6"/>
    <x v="22"/>
    <s v="Essay structuring and brainstorming, Grammar and style checking, Research paper organization, Creative writing feedback and revision"/>
    <n v="0"/>
    <n v="7.7"/>
    <n v="4"/>
    <n v="7"/>
    <n v="9.9"/>
    <n v="9"/>
    <s v="Maybe"/>
  </r>
  <r>
    <s v="U0138"/>
    <x v="5"/>
    <x v="0"/>
    <x v="2"/>
    <x v="1"/>
    <x v="0"/>
    <x v="9"/>
    <n v="324"/>
    <x v="6"/>
    <x v="2"/>
    <x v="60"/>
    <m/>
    <n v="20"/>
    <m/>
    <n v="2"/>
    <n v="5"/>
    <n v="11.6"/>
    <n v="3"/>
    <s v="No"/>
  </r>
  <r>
    <s v="U0156"/>
    <x v="20"/>
    <x v="1"/>
    <x v="3"/>
    <x v="1"/>
    <x v="6"/>
    <x v="86"/>
    <n v="238"/>
    <x v="3"/>
    <x v="5"/>
    <x v="2"/>
    <m/>
    <n v="0"/>
    <m/>
    <m/>
    <n v="6"/>
    <n v="2.7"/>
    <n v="6.2"/>
    <s v="Maybe"/>
  </r>
  <r>
    <s v="U0033"/>
    <x v="11"/>
    <x v="1"/>
    <x v="7"/>
    <x v="1"/>
    <x v="4"/>
    <x v="4"/>
    <n v="0"/>
    <x v="4"/>
    <x v="8"/>
    <x v="10"/>
    <s v="Using AI to explain complex biological concepts, generating practice questions for exams, summarizing textbook chapters"/>
    <n v="20"/>
    <n v="4.3"/>
    <n v="4"/>
    <n v="5"/>
    <n v="2.9"/>
    <n v="8.6"/>
    <s v="Yes"/>
  </r>
  <r>
    <s v="U0213"/>
    <x v="8"/>
    <x v="1"/>
    <x v="12"/>
    <x v="1"/>
    <x v="1"/>
    <x v="87"/>
    <n v="0"/>
    <x v="0"/>
    <x v="6"/>
    <x v="61"/>
    <s v="Essay drafting and structuring, Literature analysis and research assistance, Creative writing feedback and editing"/>
    <n v="10"/>
    <n v="5.2"/>
    <n v="2"/>
    <n v="5"/>
    <n v="4.4000000000000004"/>
    <n v="7.8"/>
    <s v="No"/>
  </r>
  <r>
    <s v="U0208"/>
    <x v="11"/>
    <x v="1"/>
    <x v="6"/>
    <x v="1"/>
    <x v="3"/>
    <x v="70"/>
    <n v="100"/>
    <x v="2"/>
    <x v="5"/>
    <x v="30"/>
    <s v="Creating social media captions and posts, Generating blog content outlines, Editing and enhancing product photos for e-commerce posts"/>
    <n v="25"/>
    <n v="4.7"/>
    <n v="3"/>
    <n v="5"/>
    <n v="2.1"/>
    <n v="6"/>
    <s v="Yes"/>
  </r>
  <r>
    <s v="U0168"/>
    <x v="12"/>
    <x v="0"/>
    <x v="3"/>
    <x v="0"/>
    <x v="0"/>
    <x v="88"/>
    <n v="1884"/>
    <x v="4"/>
    <x v="4"/>
    <x v="5"/>
    <s v="An��lise preditiva de tend��ncias de mercado com Machine Learning, processamento e limpeza de grandes volumes de dados com Python/SQL, cria����o de dashboards interativos em Power BI, relat��rios autom��ticos de KPIs"/>
    <n v="10"/>
    <n v="4.9000000000000004"/>
    <m/>
    <n v="4"/>
    <m/>
    <n v="7.7"/>
    <s v="Yes"/>
  </r>
  <r>
    <s v="U0087"/>
    <x v="1"/>
    <x v="0"/>
    <x v="12"/>
    <x v="1"/>
    <x v="3"/>
    <x v="89"/>
    <n v="387"/>
    <x v="6"/>
    <x v="5"/>
    <x v="5"/>
    <s v="Video editing with AI-assisted color grading, Generating background music and sound design, Creating AI-enhanced visual effects, Writing and scripting video content"/>
    <n v="10"/>
    <n v="6.2"/>
    <n v="3"/>
    <n v="6"/>
    <n v="7.5"/>
    <m/>
    <s v="No"/>
  </r>
  <r>
    <s v="U0175"/>
    <x v="28"/>
    <x v="1"/>
    <x v="12"/>
    <x v="0"/>
    <x v="6"/>
    <x v="90"/>
    <n v="1632"/>
    <x v="0"/>
    <x v="5"/>
    <x v="62"/>
    <s v="Generating blog articles and marketing copy with AI writing tools, creating social media content calendars, producing video scripts and editing with AI-assisted tools"/>
    <n v="0"/>
    <n v="7.8"/>
    <n v="4"/>
    <n v="9"/>
    <n v="7.1"/>
    <n v="5.8"/>
    <s v="Yes"/>
  </r>
  <r>
    <s v="U0180"/>
    <x v="36"/>
    <x v="1"/>
    <x v="5"/>
    <x v="0"/>
    <x v="6"/>
    <x v="77"/>
    <n v="1193"/>
    <x v="0"/>
    <x v="4"/>
    <x v="11"/>
    <s v="Statistical modeling and hypothesis testing with Python/R, Machine learning model development for predictive analytics, Automated data visualization and reporting with Power BI"/>
    <n v="20"/>
    <n v="8.1"/>
    <n v="2"/>
    <n v="6"/>
    <n v="13.5"/>
    <n v="7.9"/>
    <s v="Maybe"/>
  </r>
  <r>
    <s v="U0254"/>
    <x v="38"/>
    <x v="1"/>
    <x v="0"/>
    <x v="0"/>
    <x v="1"/>
    <x v="91"/>
    <n v="3159"/>
    <x v="2"/>
    <x v="1"/>
    <x v="24"/>
    <s v="Using AI chatbots to handle routine customer inquiries, training support staff on AI tools, monitoring AI-assisted ticket resolution quality"/>
    <n v="0"/>
    <n v="3.4"/>
    <m/>
    <n v="7"/>
    <n v="4.0999999999999996"/>
    <n v="8.6"/>
    <s v="Yes"/>
  </r>
  <r>
    <s v="U0284"/>
    <x v="34"/>
    <x v="1"/>
    <x v="11"/>
    <x v="0"/>
    <x v="1"/>
    <x v="92"/>
    <n v="3622"/>
    <x v="0"/>
    <x v="2"/>
    <x v="51"/>
    <s v="Code generation and debugging with AI assistants, automated testing and code quality analysis, documentation generation from code, rapid prototyping of features"/>
    <n v="0"/>
    <n v="5"/>
    <n v="4"/>
    <n v="6"/>
    <n v="5.7"/>
    <n v="8.6"/>
    <s v="Yes"/>
  </r>
  <r>
    <s v="U0020"/>
    <x v="22"/>
    <x v="1"/>
    <x v="8"/>
    <x v="1"/>
    <x v="0"/>
    <x v="75"/>
    <n v="661"/>
    <x v="0"/>
    <x v="6"/>
    <x v="39"/>
    <s v="Brainstorming story concepts and plot outlines, refining essay drafts and academic papers, generating dialogue for fiction projects, editing and proofreading written content"/>
    <n v="0"/>
    <n v="4.9000000000000004"/>
    <n v="3"/>
    <n v="4"/>
    <n v="7"/>
    <n v="6"/>
    <s v="Yes"/>
  </r>
  <r>
    <s v="U0169"/>
    <x v="27"/>
    <x v="0"/>
    <x v="5"/>
    <x v="0"/>
    <x v="2"/>
    <x v="93"/>
    <n v="1192"/>
    <x v="0"/>
    <x v="5"/>
    <x v="35"/>
    <m/>
    <n v="30"/>
    <n v="3.5"/>
    <n v="4"/>
    <n v="6"/>
    <n v="3.8"/>
    <n v="6.7"/>
    <s v="Yes"/>
  </r>
  <r>
    <s v="U0153"/>
    <x v="8"/>
    <x v="0"/>
    <x v="1"/>
    <x v="1"/>
    <x v="4"/>
    <x v="2"/>
    <n v="0"/>
    <x v="6"/>
    <x v="3"/>
    <x v="25"/>
    <s v="Debugging code with AI assistance, generating code snippets for assignments, learning new programming languages and frameworks"/>
    <n v="0"/>
    <n v="8.3000000000000007"/>
    <n v="3"/>
    <n v="8"/>
    <n v="10.9"/>
    <n v="7.4"/>
    <s v="Yes"/>
  </r>
  <r>
    <s v="U0079"/>
    <x v="8"/>
    <x v="1"/>
    <x v="8"/>
    <x v="1"/>
    <x v="3"/>
    <x v="11"/>
    <n v="613"/>
    <x v="4"/>
    <x v="8"/>
    <x v="24"/>
    <s v="Generating practice problems and solutions for thermodynamics assignments, Using AI to explain complex calculus concepts, Debugging Python code for computational mechanics projects"/>
    <n v="20"/>
    <n v="5.6"/>
    <n v="2"/>
    <n v="4"/>
    <n v="8"/>
    <n v="7.4"/>
    <s v="No"/>
  </r>
  <r>
    <s v="U0106"/>
    <x v="39"/>
    <x v="0"/>
    <x v="0"/>
    <x v="0"/>
    <x v="1"/>
    <x v="91"/>
    <n v="5563"/>
    <x v="0"/>
    <x v="1"/>
    <x v="15"/>
    <s v="Processing customer inquiries with AI chatbot automation, analysing customer feedback sentiment using AI tools, training support team on AI-assisted ticketing systems"/>
    <n v="25"/>
    <n v="4.0999999999999996"/>
    <n v="5"/>
    <n v="6"/>
    <n v="3.9"/>
    <n v="5.9"/>
    <s v="No"/>
  </r>
  <r>
    <s v="U0241"/>
    <x v="20"/>
    <x v="1"/>
    <x v="2"/>
    <x v="1"/>
    <x v="4"/>
    <x v="4"/>
    <n v="670"/>
    <x v="0"/>
    <x v="8"/>
    <x v="22"/>
    <s v="Using AI to generate practice exam questions, getting help understanding complex concepts like cellular respiration, summarizing textbook chapters for study notes"/>
    <n v="30"/>
    <n v="7.9"/>
    <m/>
    <n v="9"/>
    <n v="7.5"/>
    <n v="9.4"/>
    <s v="Yes"/>
  </r>
  <r>
    <s v="U0072"/>
    <x v="11"/>
    <x v="1"/>
    <x v="6"/>
    <x v="1"/>
    <x v="2"/>
    <x v="2"/>
    <n v="50"/>
    <x v="5"/>
    <x v="2"/>
    <x v="63"/>
    <s v="Debugging code with AI assistance, generating code snippets for assignments, learning new programming languages and frameworks"/>
    <n v="0"/>
    <n v="9.1"/>
    <n v="4"/>
    <n v="9"/>
    <n v="15.8"/>
    <n v="5.2"/>
    <s v="Yes"/>
  </r>
  <r>
    <s v="U0245"/>
    <x v="32"/>
    <x v="1"/>
    <x v="6"/>
    <x v="0"/>
    <x v="4"/>
    <x v="9"/>
    <n v="1320"/>
    <x v="3"/>
    <x v="0"/>
    <x v="3"/>
    <s v="Email management and scheduling, document preparation using word processors, data entry and spreadsheet management, basic report generation"/>
    <m/>
    <n v="5.2"/>
    <n v="3"/>
    <n v="6"/>
    <n v="3.5"/>
    <n v="9.4"/>
    <s v="Yes"/>
  </r>
  <r>
    <s v="U0172"/>
    <x v="8"/>
    <x v="1"/>
    <x v="7"/>
    <x v="1"/>
    <x v="3"/>
    <x v="15"/>
    <n v="0"/>
    <x v="0"/>
    <x v="6"/>
    <x v="12"/>
    <s v="Essay structuring and outlining, grammar checking and proofreading, research paper organization, creative writing feedback"/>
    <n v="0"/>
    <n v="6.9"/>
    <n v="4"/>
    <n v="9"/>
    <n v="6.7"/>
    <n v="7.3"/>
    <s v="Yes"/>
  </r>
  <r>
    <s v="U0133"/>
    <x v="20"/>
    <x v="1"/>
    <x v="10"/>
    <x v="1"/>
    <x v="0"/>
    <x v="94"/>
    <n v="135"/>
    <x v="3"/>
    <x v="7"/>
    <x v="7"/>
    <s v="Literature review analysis using AI research tools, thesis data interpretation and statistical analysis, scientific paper summarization and citation management, research proposal optimization"/>
    <n v="30"/>
    <n v="4.5"/>
    <n v="4"/>
    <n v="6"/>
    <n v="3.5"/>
    <m/>
    <s v="Maybe"/>
  </r>
  <r>
    <s v="U0282"/>
    <x v="33"/>
    <x v="4"/>
    <x v="2"/>
    <x v="0"/>
    <x v="5"/>
    <x v="16"/>
    <n v="3218"/>
    <x v="1"/>
    <x v="7"/>
    <x v="8"/>
    <s v="Literature review automation, data analysis and visualization, competitor intelligence gathering, research report generation"/>
    <n v="10"/>
    <n v="4.8"/>
    <n v="4"/>
    <n v="7"/>
    <n v="6.4"/>
    <n v="8.6"/>
    <s v="Yes"/>
  </r>
  <r>
    <s v="U0025"/>
    <x v="1"/>
    <x v="1"/>
    <x v="12"/>
    <x v="1"/>
    <x v="3"/>
    <x v="45"/>
    <m/>
    <x v="0"/>
    <x v="7"/>
    <x v="64"/>
    <s v="Literature review and source analysis, Data interpretation and visualization for research projects, Academic paper summarization and synthesis"/>
    <n v="30"/>
    <n v="7"/>
    <n v="4"/>
    <n v="8"/>
    <n v="8.9"/>
    <n v="7.8"/>
    <s v="Yes"/>
  </r>
  <r>
    <s v="U0122"/>
    <x v="15"/>
    <x v="0"/>
    <x v="2"/>
    <x v="1"/>
    <x v="3"/>
    <x v="95"/>
    <n v="624"/>
    <x v="4"/>
    <x v="7"/>
    <x v="15"/>
    <s v="Literature review summarization, research paper analysis, data interpretation assistance, study methodology research"/>
    <n v="0"/>
    <n v="4.4000000000000004"/>
    <n v="3"/>
    <n v="5"/>
    <n v="0.1"/>
    <n v="7.4"/>
    <s v="Yes"/>
  </r>
  <r>
    <s v="U0031"/>
    <x v="20"/>
    <x v="0"/>
    <x v="2"/>
    <x v="1"/>
    <x v="3"/>
    <x v="9"/>
    <n v="415"/>
    <x v="6"/>
    <x v="7"/>
    <x v="52"/>
    <s v="Literature review and paper summarization, Lab data analysis and statistical interpretation, Research methodology planning and protocol development"/>
    <n v="0"/>
    <n v="4.4000000000000004"/>
    <n v="3"/>
    <n v="5"/>
    <n v="3.1"/>
    <n v="5.5"/>
    <s v="Yes"/>
  </r>
  <r>
    <s v="U0062"/>
    <x v="8"/>
    <x v="0"/>
    <x v="8"/>
    <x v="1"/>
    <x v="0"/>
    <x v="67"/>
    <n v="0"/>
    <x v="6"/>
    <x v="8"/>
    <x v="58"/>
    <s v="Analyzing research papers with AI summaries, Debugging Python code for machine learning projects, Preparing for statistical analysis exams using AI tutoring"/>
    <n v="0"/>
    <n v="8.1"/>
    <n v="3"/>
    <n v="7"/>
    <n v="9"/>
    <n v="7.3"/>
    <s v="Yes"/>
  </r>
  <r>
    <s v="U0058"/>
    <x v="4"/>
    <x v="0"/>
    <x v="11"/>
    <x v="0"/>
    <x v="4"/>
    <x v="96"/>
    <n v="4499"/>
    <x v="3"/>
    <x v="4"/>
    <x v="32"/>
    <s v="Cleaning and organizing Excel datasets, Creating data visualizations with Power BI, Generating reports from business metrics using SQL queries"/>
    <n v="20"/>
    <n v="2.7"/>
    <n v="4"/>
    <n v="4"/>
    <n v="0.5"/>
    <n v="6.2"/>
    <s v="Yes"/>
  </r>
  <r>
    <s v="U0173"/>
    <x v="0"/>
    <x v="1"/>
    <x v="0"/>
    <x v="0"/>
    <x v="1"/>
    <x v="12"/>
    <n v="6437"/>
    <x v="4"/>
    <x v="2"/>
    <x v="24"/>
    <s v="Debugging code using AI-assisted tools, Generating boilerplate code with GitHub Copilot, Code review and optimization with AI suggestions, Writing unit tests using AI pair programming"/>
    <n v="0"/>
    <n v="4.9000000000000004"/>
    <n v="5"/>
    <n v="8"/>
    <n v="2.1"/>
    <n v="6.7"/>
    <s v="Yes"/>
  </r>
  <r>
    <s v="U0003"/>
    <x v="1"/>
    <x v="1"/>
    <x v="8"/>
    <x v="1"/>
    <x v="0"/>
    <x v="67"/>
    <n v="440"/>
    <x v="0"/>
    <x v="4"/>
    <x v="38"/>
    <s v="Statistical analysis of research datasets, Data visualization and interpretation, Machine learning model training and evaluation, Predictive analytics for academic projects"/>
    <n v="10"/>
    <n v="4.3"/>
    <n v="4"/>
    <n v="6"/>
    <n v="0.5"/>
    <n v="7.5"/>
    <s v="No"/>
  </r>
  <r>
    <s v="U0260"/>
    <x v="28"/>
    <x v="1"/>
    <x v="6"/>
    <x v="1"/>
    <x v="6"/>
    <x v="97"/>
    <n v="60"/>
    <x v="5"/>
    <x v="8"/>
    <x v="37"/>
    <s v="Research paper summarization and literature review, experimental data analysis and visualization, thesis writing and citation management, concept clarification through AI tutoring"/>
    <n v="50"/>
    <n v="4.9000000000000004"/>
    <n v="4"/>
    <n v="8"/>
    <n v="7.2"/>
    <n v="8"/>
    <s v="Yes"/>
  </r>
  <r>
    <s v="U0117"/>
    <x v="11"/>
    <x v="1"/>
    <x v="6"/>
    <x v="1"/>
    <x v="3"/>
    <x v="94"/>
    <n v="219"/>
    <x v="5"/>
    <x v="8"/>
    <x v="35"/>
    <s v="Generating study summaries from lecture notes, solving complex problem sets with AI guidance, creating visual diagrams for anatomy concepts"/>
    <n v="0"/>
    <n v="4.8"/>
    <n v="4"/>
    <n v="6"/>
    <n v="3.6"/>
    <n v="6.1"/>
    <s v="Yes"/>
  </r>
  <r>
    <s v="U0163"/>
    <x v="39"/>
    <x v="0"/>
    <x v="8"/>
    <x v="0"/>
    <x v="0"/>
    <x v="10"/>
    <n v="5903"/>
    <x v="0"/>
    <x v="7"/>
    <x v="7"/>
    <s v="Literature review synthesis using AI-powered databases, data analysis and pattern identification with machine learning models, research hypothesis testing and statistical validation"/>
    <n v="20"/>
    <n v="5.2"/>
    <n v="3"/>
    <n v="7"/>
    <n v="6.5"/>
    <n v="9.6999999999999993"/>
    <s v="Yes"/>
  </r>
  <r>
    <s v="U0019"/>
    <x v="40"/>
    <x v="0"/>
    <x v="4"/>
    <x v="0"/>
    <x v="1"/>
    <x v="98"/>
    <n v="3944"/>
    <x v="2"/>
    <x v="2"/>
    <x v="35"/>
    <s v="Debugging code with AI-assisted analysis, auto-completing code functions, generating unit test cases with AI tools"/>
    <n v="0"/>
    <n v="1.9"/>
    <n v="3"/>
    <n v="3"/>
    <n v="2.5"/>
    <n v="9.5"/>
    <s v="No"/>
  </r>
  <r>
    <s v="U0115"/>
    <x v="37"/>
    <x v="0"/>
    <x v="1"/>
    <x v="0"/>
    <x v="1"/>
    <x v="0"/>
    <n v="4070"/>
    <x v="3"/>
    <x v="0"/>
    <x v="8"/>
    <s v="Automating data analysis with AI tools, generating reports using AI writing assistants, analyzing market trends with AI analytics platforms"/>
    <n v="20"/>
    <n v="6.8"/>
    <n v="4"/>
    <n v="7"/>
    <m/>
    <n v="10.7"/>
    <s v="Yes"/>
  </r>
  <r>
    <s v="U0160"/>
    <x v="1"/>
    <x v="1"/>
    <x v="6"/>
    <x v="1"/>
    <x v="3"/>
    <x v="99"/>
    <n v="250000"/>
    <x v="0"/>
    <x v="7"/>
    <x v="3"/>
    <s v="Literature review on emerging technologies, Data analysis for lab experiments, Creating research presentations with AI summarization, Organizing and citing research papers"/>
    <n v="0"/>
    <n v="5.8"/>
    <n v="4"/>
    <n v="7"/>
    <n v="5"/>
    <n v="7"/>
    <s v="Yes"/>
  </r>
  <r>
    <s v="U0048"/>
    <x v="15"/>
    <x v="1"/>
    <x v="1"/>
    <x v="0"/>
    <x v="1"/>
    <x v="9"/>
    <m/>
    <x v="8"/>
    <x v="6"/>
    <x v="65"/>
    <s v="Draft blog posts and marketing copy with AI writing assistants, Generate email campaign content, Edit and refine AI-generated social media posts"/>
    <n v="30"/>
    <n v="5.6"/>
    <n v="3"/>
    <n v="7"/>
    <n v="5.2"/>
    <n v="8.4"/>
    <s v="Yes"/>
  </r>
  <r>
    <s v="U0112"/>
    <x v="4"/>
    <x v="0"/>
    <x v="2"/>
    <x v="1"/>
    <x v="3"/>
    <x v="15"/>
    <n v="553"/>
    <x v="2"/>
    <x v="6"/>
    <x v="5"/>
    <s v="Essay outlining and structure planning, grammar and style checking, brainstorming essay arguments, citation formatting assistance"/>
    <n v="25"/>
    <n v="3.6"/>
    <n v="4"/>
    <n v="6"/>
    <n v="5.5"/>
    <n v="5.9"/>
    <s v="Maybe"/>
  </r>
  <r>
    <s v="U0012"/>
    <x v="11"/>
    <x v="1"/>
    <x v="4"/>
    <x v="0"/>
    <x v="1"/>
    <x v="100"/>
    <n v="3693"/>
    <x v="6"/>
    <x v="2"/>
    <x v="25"/>
    <s v="Generating code snippets with GitHub Copilot, debugging Python scripts using AI pair programming, optimizing SQL queries with AI assistance"/>
    <n v="20"/>
    <n v="7.6"/>
    <n v="3"/>
    <n v="7"/>
    <n v="9.3000000000000007"/>
    <n v="6.1"/>
    <s v="Yes"/>
  </r>
  <r>
    <s v="U0204"/>
    <x v="25"/>
    <x v="0"/>
    <x v="0"/>
    <x v="0"/>
    <x v="6"/>
    <x v="101"/>
    <n v="7690"/>
    <x v="3"/>
    <x v="2"/>
    <x v="38"/>
    <s v="Developing machine learning models for code optimization, Automating code generation and refactoring using AI, Debugging complex algorithms with AI-assisted analysis"/>
    <m/>
    <n v="2"/>
    <n v="2"/>
    <n v="3"/>
    <n v="2.7"/>
    <n v="10.4"/>
    <s v="No"/>
  </r>
  <r>
    <s v="U0091"/>
    <x v="9"/>
    <x v="3"/>
    <x v="2"/>
    <x v="1"/>
    <x v="4"/>
    <x v="15"/>
    <n v="0"/>
    <x v="3"/>
    <x v="6"/>
    <x v="54"/>
    <s v="Essay drafting and brainstorming, grammar checking and proofreading, research paper outline generation, creative writing feedback"/>
    <n v="10"/>
    <n v="5.7"/>
    <n v="2"/>
    <n v="4"/>
    <n v="6.6"/>
    <n v="6.4"/>
    <s v="No"/>
  </r>
  <r>
    <s v="U0266"/>
    <x v="10"/>
    <x v="0"/>
    <x v="12"/>
    <x v="0"/>
    <x v="6"/>
    <x v="102"/>
    <n v="1208"/>
    <x v="2"/>
    <x v="0"/>
    <x v="2"/>
    <s v="Automated report generation using AI, Data analysis and visualization with machine learning, Document processing and knowledge management, Research paper summarization and literature review automation"/>
    <n v="20"/>
    <n v="2.6"/>
    <n v="4"/>
    <n v="4"/>
    <m/>
    <n v="8.3000000000000007"/>
    <s v="No"/>
  </r>
  <r>
    <s v="U0018"/>
    <x v="15"/>
    <x v="0"/>
    <x v="1"/>
    <x v="0"/>
    <x v="0"/>
    <x v="103"/>
    <n v="10311"/>
    <x v="4"/>
    <x v="6"/>
    <x v="42"/>
    <s v="Using AI for blog drafting, editing article copy with grammar tools, generating content outlines"/>
    <n v="20"/>
    <n v="4.2"/>
    <n v="3"/>
    <n v="5"/>
    <n v="5.4"/>
    <n v="10.5"/>
    <s v="Maybe"/>
  </r>
  <r>
    <s v="U0128"/>
    <x v="33"/>
    <x v="1"/>
    <x v="6"/>
    <x v="0"/>
    <x v="5"/>
    <x v="104"/>
    <n v="1407"/>
    <x v="5"/>
    <x v="2"/>
    <x v="17"/>
    <s v="Code debugging with AI assistants, generating boilerplate code snippets, optimizing legacy application code, testing and validating code functionality"/>
    <n v="0"/>
    <n v="3.3"/>
    <n v="3"/>
    <n v="4"/>
    <n v="3"/>
    <n v="9.5"/>
    <s v="No"/>
  </r>
  <r>
    <s v="U0005"/>
    <x v="41"/>
    <x v="1"/>
    <x v="6"/>
    <x v="0"/>
    <x v="0"/>
    <x v="32"/>
    <n v="2050"/>
    <x v="1"/>
    <x v="5"/>
    <x v="66"/>
    <s v="AI-powered blog post generation and optimization, creating marketing copy using AI writing assistants, designing social media content calendars with AI recommendations"/>
    <n v="50"/>
    <n v="7.8"/>
    <n v="3"/>
    <n v="6"/>
    <n v="10.7"/>
    <n v="9.5"/>
    <s v="Maybe"/>
  </r>
  <r>
    <s v="U0210"/>
    <x v="29"/>
    <x v="0"/>
    <x v="1"/>
    <x v="1"/>
    <x v="3"/>
    <x v="4"/>
    <n v="243"/>
    <x v="6"/>
    <x v="8"/>
    <x v="10"/>
    <s v="Summarizing research papers for assignments, generating study guides from lecture notes, creating practice questions for exams"/>
    <n v="0"/>
    <n v="2.5"/>
    <n v="3"/>
    <n v="5"/>
    <n v="1.3"/>
    <n v="6.8"/>
    <s v="No"/>
  </r>
  <r>
    <s v="U0218"/>
    <x v="32"/>
    <x v="0"/>
    <x v="3"/>
    <x v="0"/>
    <x v="5"/>
    <x v="105"/>
    <n v="1405"/>
    <x v="0"/>
    <x v="2"/>
    <x v="37"/>
    <s v="Escrever c��digo Python e JavaScript com assist��ncia de IA, debugar aplica����es usando ferramentas de an��lise de c��digo, otimizar queries de banco de dados com sugest��es de IA"/>
    <m/>
    <n v="6.8"/>
    <n v="5"/>
    <n v="10"/>
    <n v="7.4"/>
    <n v="7.5"/>
    <s v="Maybe"/>
  </r>
  <r>
    <s v="U0038"/>
    <x v="15"/>
    <x v="0"/>
    <x v="10"/>
    <x v="1"/>
    <x v="3"/>
    <x v="15"/>
    <n v="98"/>
    <x v="3"/>
    <x v="6"/>
    <x v="3"/>
    <s v="Essay writing and structure planning, Grammar checking and proofreading, Creative writing brainstorming, Citation and referencing assistance"/>
    <n v="20"/>
    <n v="3.5"/>
    <n v="3"/>
    <n v="6"/>
    <n v="2.9"/>
    <n v="7.7"/>
    <s v="Yes"/>
  </r>
  <r>
    <s v="U0064"/>
    <x v="20"/>
    <x v="0"/>
    <x v="6"/>
    <x v="1"/>
    <x v="1"/>
    <x v="67"/>
    <n v="104"/>
    <x v="0"/>
    <x v="8"/>
    <x v="67"/>
    <s v="Using AI for programming problem solving, generating practice exam questions, explaining complex machine learning concepts, summarizing research papers"/>
    <n v="0"/>
    <n v="6.9"/>
    <n v="2"/>
    <n v="6"/>
    <n v="14.1"/>
    <n v="6.4"/>
    <s v="No"/>
  </r>
  <r>
    <s v="U0185"/>
    <x v="15"/>
    <x v="1"/>
    <x v="3"/>
    <x v="1"/>
    <x v="1"/>
    <x v="8"/>
    <n v="243"/>
    <x v="3"/>
    <x v="5"/>
    <x v="57"/>
    <s v="Video editing and effects using AI tools, AI-assisted scriptwriting for YouTube content, AI image generation for social media graphics, audio enhancement and voiceover synthesis"/>
    <n v="100"/>
    <n v="5.4"/>
    <n v="3"/>
    <n v="6"/>
    <n v="6.8"/>
    <n v="8.5"/>
    <s v="Yes"/>
  </r>
  <r>
    <s v="U0273"/>
    <x v="8"/>
    <x v="1"/>
    <x v="1"/>
    <x v="1"/>
    <x v="3"/>
    <x v="36"/>
    <n v="0"/>
    <x v="0"/>
    <x v="5"/>
    <x v="58"/>
    <s v="Creating social media graphics and promotional videos, writing blog posts and articles with AI assistance, designing visual content for class projects"/>
    <n v="20"/>
    <n v="5.5"/>
    <n v="3"/>
    <n v="5"/>
    <n v="12.4"/>
    <n v="5.7"/>
    <s v="No"/>
  </r>
  <r>
    <s v="U0247"/>
    <x v="15"/>
    <x v="1"/>
    <x v="8"/>
    <x v="0"/>
    <x v="0"/>
    <x v="106"/>
    <n v="3462"/>
    <x v="4"/>
    <x v="4"/>
    <x v="68"/>
    <s v="Cleaning and preprocessing datasets using Python and SQL, Building predictive models with machine learning libraries, Creating automated dashboards and reports with Power BI or Tableau, Performing statistical analysis and A/B testing"/>
    <n v="0"/>
    <n v="5.6"/>
    <n v="4"/>
    <n v="5"/>
    <n v="5.5"/>
    <n v="6.7"/>
    <s v="Maybe"/>
  </r>
  <r>
    <s v="U0220"/>
    <x v="16"/>
    <x v="1"/>
    <x v="3"/>
    <x v="0"/>
    <x v="5"/>
    <x v="107"/>
    <n v="1613"/>
    <x v="4"/>
    <x v="0"/>
    <x v="69"/>
    <s v="Email management and scheduling with AI assistance, Document organization and data entry using AI tools, Budget tracking and spreadsheet analysis, Report generation and formatting"/>
    <n v="0"/>
    <n v="5.9"/>
    <n v="3"/>
    <n v="6"/>
    <n v="5.6"/>
    <n v="10"/>
    <s v="Yes"/>
  </r>
  <r>
    <s v="U0050"/>
    <x v="24"/>
    <x v="0"/>
    <x v="7"/>
    <x v="0"/>
    <x v="1"/>
    <x v="28"/>
    <n v="969"/>
    <x v="0"/>
    <x v="6"/>
    <x v="40"/>
    <s v="Drafting blog posts and articles using AI writing assistants, proofreading and editing content with grammar tools, generating social media copy and captions"/>
    <n v="0"/>
    <n v="5.4"/>
    <n v="3"/>
    <n v="7"/>
    <n v="6.5"/>
    <n v="9.3000000000000007"/>
    <s v="Yes"/>
  </r>
  <r>
    <s v="U0190"/>
    <x v="24"/>
    <x v="1"/>
    <x v="11"/>
    <x v="0"/>
    <x v="1"/>
    <x v="72"/>
    <m/>
    <x v="6"/>
    <x v="5"/>
    <x v="37"/>
    <s v="AI-assisted article writing and SEO optimization, social media content generation, automated copywriting for marketing campaigns, AI-powered image and graphic content creation"/>
    <n v="0"/>
    <n v="4.8"/>
    <n v="2"/>
    <n v="5"/>
    <n v="6"/>
    <n v="7.5"/>
    <s v="No"/>
  </r>
  <r>
    <s v="U0249"/>
    <x v="27"/>
    <x v="0"/>
    <x v="2"/>
    <x v="0"/>
    <x v="5"/>
    <x v="12"/>
    <n v="3579"/>
    <x v="6"/>
    <x v="2"/>
    <x v="62"/>
    <s v="Debugging code with AI-assisted error detection, writing automated unit tests using AI code generation, refactoring legacy code with AI suggestions"/>
    <n v="0"/>
    <n v="7.3"/>
    <n v="4"/>
    <n v="7"/>
    <n v="5.7"/>
    <n v="8.4"/>
    <s v="Yes"/>
  </r>
  <r>
    <s v="U0124"/>
    <x v="39"/>
    <x v="0"/>
    <x v="7"/>
    <x v="0"/>
    <x v="1"/>
    <x v="108"/>
    <n v="210"/>
    <x v="0"/>
    <x v="5"/>
    <x v="48"/>
    <s v="Writing blog posts and articles using AI writing tools, designing social media content with AI image generators, creating video scripts and editing content using AI-assisted tools"/>
    <n v="10"/>
    <n v="3.6"/>
    <n v="3"/>
    <n v="4"/>
    <n v="5.0999999999999996"/>
    <n v="9.5"/>
    <s v="No"/>
  </r>
  <r>
    <s v="U0196"/>
    <x v="3"/>
    <x v="1"/>
    <x v="7"/>
    <x v="1"/>
    <x v="3"/>
    <x v="15"/>
    <n v="58"/>
    <x v="0"/>
    <x v="6"/>
    <x v="70"/>
    <s v="Essay drafting and structuring, grammar and syntax correction, research paper organization, creative writing brainstorming"/>
    <n v="0"/>
    <n v="8.8000000000000007"/>
    <n v="3"/>
    <n v="8"/>
    <n v="10"/>
    <n v="7.3"/>
    <s v="Yes"/>
  </r>
  <r>
    <s v="U0053"/>
    <x v="9"/>
    <x v="1"/>
    <x v="5"/>
    <x v="1"/>
    <x v="1"/>
    <x v="109"/>
    <n v="88"/>
    <x v="0"/>
    <x v="7"/>
    <x v="7"/>
    <s v="Literature review analysis, Research paper summarization, Data interpretation assistance, Survey analysis"/>
    <n v="10"/>
    <n v="3.4"/>
    <n v="3"/>
    <n v="5"/>
    <n v="5.9"/>
    <n v="6.5"/>
    <s v="No"/>
  </r>
  <r>
    <s v="U0240"/>
    <x v="34"/>
    <x v="1"/>
    <x v="1"/>
    <x v="1"/>
    <x v="0"/>
    <x v="71"/>
    <n v="335"/>
    <x v="2"/>
    <x v="2"/>
    <x v="5"/>
    <s v="Debugging Python code with AI assistance, Generating boilerplate code for data preprocessing, Optimizing neural network architectures"/>
    <n v="20"/>
    <n v="4"/>
    <n v="3"/>
    <n v="6"/>
    <n v="4.2"/>
    <n v="4.9000000000000004"/>
    <s v="No"/>
  </r>
  <r>
    <s v="U0212"/>
    <x v="8"/>
    <x v="0"/>
    <x v="6"/>
    <x v="1"/>
    <x v="3"/>
    <x v="70"/>
    <n v="0"/>
    <x v="6"/>
    <x v="5"/>
    <x v="18"/>
    <s v="Creating social media content using AI writing tools, Generating blog post outlines and scripts for YouTube videos, Designing graphics and promotional materials with AI image generators"/>
    <n v="30"/>
    <n v="3.4"/>
    <n v="4"/>
    <n v="6"/>
    <n v="5.9"/>
    <n v="5.4"/>
    <s v="No"/>
  </r>
  <r>
    <s v="U0155"/>
    <x v="15"/>
    <x v="0"/>
    <x v="0"/>
    <x v="0"/>
    <x v="5"/>
    <x v="28"/>
    <n v="2303"/>
    <x v="2"/>
    <x v="6"/>
    <x v="62"/>
    <s v="Drafting blog articles and web copy with AI assistance, proofreading and editing content generated by language models, optimizing written materials for SEO using AI tools"/>
    <n v="20"/>
    <n v="5.8"/>
    <n v="5"/>
    <n v="9"/>
    <n v="11.3"/>
    <n v="7.8"/>
    <s v="Yes"/>
  </r>
  <r>
    <s v="U0013"/>
    <x v="15"/>
    <x v="0"/>
    <x v="2"/>
    <x v="0"/>
    <x v="4"/>
    <x v="79"/>
    <n v="3779"/>
    <x v="0"/>
    <x v="2"/>
    <x v="1"/>
    <s v="Writing JavaScript code with AI code completion, debugging Python scripts using AI-powered error analysis, generating HTML/CSS templates with AI assistance"/>
    <n v="0"/>
    <n v="6.7"/>
    <n v="2"/>
    <n v="5"/>
    <n v="13"/>
    <n v="6.6"/>
    <s v="Maybe"/>
  </r>
  <r>
    <s v="U0139"/>
    <x v="33"/>
    <x v="0"/>
    <x v="7"/>
    <x v="0"/>
    <x v="4"/>
    <x v="110"/>
    <n v="672"/>
    <x v="3"/>
    <x v="5"/>
    <x v="71"/>
    <s v="Writing blog posts and articles using AI writing assistants, Creating social media content with AI tools, Generating product descriptions for e-commerce platforms"/>
    <n v="0"/>
    <n v="5.6"/>
    <n v="5"/>
    <n v="8"/>
    <n v="16.5"/>
    <n v="7.4"/>
    <s v="Yes"/>
  </r>
  <r>
    <s v="U0055"/>
    <x v="0"/>
    <x v="0"/>
    <x v="5"/>
    <x v="0"/>
    <x v="0"/>
    <x v="25"/>
    <n v="579"/>
    <x v="6"/>
    <x v="2"/>
    <x v="50"/>
    <s v="Code review and optimization using AI assistants, automated testing and debugging with AI tools, API development and integration, documentation generation"/>
    <n v="0"/>
    <n v="6.1"/>
    <n v="4"/>
    <n v="6"/>
    <n v="9.4"/>
    <n v="7.4"/>
    <s v="Maybe"/>
  </r>
  <r>
    <s v="U0275"/>
    <x v="15"/>
    <x v="0"/>
    <x v="6"/>
    <x v="1"/>
    <x v="4"/>
    <x v="111"/>
    <n v="0"/>
    <x v="4"/>
    <x v="4"/>
    <x v="0"/>
    <s v="Analyzing survey datasets using Python, Creating data visualizations with matplotlib and seaborn, Performing statistical hypothesis testing on project data"/>
    <n v="0"/>
    <n v="3.6"/>
    <n v="5"/>
    <n v="5"/>
    <n v="3.6"/>
    <n v="4.4000000000000004"/>
    <s v="Maybe"/>
  </r>
  <r>
    <s v="U0105"/>
    <x v="3"/>
    <x v="1"/>
    <x v="1"/>
    <x v="1"/>
    <x v="1"/>
    <x v="21"/>
    <n v="135"/>
    <x v="3"/>
    <x v="8"/>
    <x v="12"/>
    <m/>
    <n v="0"/>
    <n v="5.2"/>
    <n v="4"/>
    <n v="7"/>
    <n v="9.8000000000000007"/>
    <n v="5.0999999999999996"/>
    <s v="Yes"/>
  </r>
  <r>
    <s v="U0151"/>
    <x v="27"/>
    <x v="0"/>
    <x v="6"/>
    <x v="0"/>
    <x v="0"/>
    <x v="81"/>
    <n v="1106"/>
    <x v="6"/>
    <x v="2"/>
    <x v="62"/>
    <s v="Code review and debugging using AI assistants, automated test case generation, documentation and code commenting automation, performance optimization recommendations"/>
    <n v="0"/>
    <n v="6.1"/>
    <n v="4"/>
    <n v="8"/>
    <n v="7.7"/>
    <n v="6.4"/>
    <s v="Yes"/>
  </r>
  <r>
    <s v="U0065"/>
    <x v="15"/>
    <x v="0"/>
    <x v="0"/>
    <x v="1"/>
    <x v="1"/>
    <x v="11"/>
    <n v="334"/>
    <x v="0"/>
    <x v="8"/>
    <x v="4"/>
    <s v="Explaining complex physics concepts, solving differential equations, generating study guides for thermodynamics and dynamics modules, debugging Python code for engineering simulations"/>
    <n v="20"/>
    <n v="5.2"/>
    <n v="3"/>
    <n v="7"/>
    <n v="8.4"/>
    <n v="5.9"/>
    <s v="Yes"/>
  </r>
  <r>
    <s v="U0080"/>
    <x v="8"/>
    <x v="1"/>
    <x v="12"/>
    <x v="1"/>
    <x v="4"/>
    <x v="2"/>
    <n v="158"/>
    <x v="0"/>
    <x v="2"/>
    <x v="7"/>
    <s v="Debugging code with AI assistance, Learning Python syntax, Building small projects with AI pair programming"/>
    <n v="10"/>
    <n v="3.1"/>
    <n v="4"/>
    <n v="6"/>
    <n v="5.9"/>
    <n v="8.4"/>
    <s v="Yes"/>
  </r>
  <r>
    <s v="U0261"/>
    <x v="34"/>
    <x v="0"/>
    <x v="2"/>
    <x v="1"/>
    <x v="3"/>
    <x v="13"/>
    <n v="0"/>
    <x v="6"/>
    <x v="2"/>
    <x v="40"/>
    <s v="Debugging code with AI assistance, generating boilerplate code for projects, learning new programming languages and frameworks"/>
    <n v="20"/>
    <n v="5.8"/>
    <n v="4"/>
    <n v="7"/>
    <n v="9"/>
    <n v="6"/>
    <s v="Yes"/>
  </r>
  <r>
    <s v="U0015"/>
    <x v="17"/>
    <x v="1"/>
    <x v="2"/>
    <x v="1"/>
    <x v="2"/>
    <x v="21"/>
    <n v="56"/>
    <x v="4"/>
    <x v="8"/>
    <x v="3"/>
    <s v="Using AI chatbots to explain complex business concepts, generating study notes from textbooks, practicing for economics exams with AI-generated practice questions"/>
    <n v="30"/>
    <n v="4.9000000000000004"/>
    <n v="3"/>
    <n v="5"/>
    <n v="1.9"/>
    <n v="4.3"/>
    <s v="Yes"/>
  </r>
  <r>
    <s v="U0090"/>
    <x v="5"/>
    <x v="1"/>
    <x v="1"/>
    <x v="1"/>
    <x v="4"/>
    <x v="45"/>
    <n v="118"/>
    <x v="1"/>
    <x v="7"/>
    <x v="18"/>
    <s v="Literature review summarization, data analysis for lab reports, generating research outlines, fact-checking sources for school projects"/>
    <n v="0"/>
    <n v="4.5"/>
    <n v="4"/>
    <n v="7"/>
    <n v="1"/>
    <n v="5.9"/>
    <s v="Yes"/>
  </r>
  <r>
    <s v="U0123"/>
    <x v="17"/>
    <x v="0"/>
    <x v="7"/>
    <x v="1"/>
    <x v="3"/>
    <x v="94"/>
    <n v="80"/>
    <x v="5"/>
    <x v="7"/>
    <x v="4"/>
    <s v="Literature review on medical devices, analyzing research papers using AI summaries, conducting computational analysis of biological data, organizing and citing academic sources"/>
    <n v="20"/>
    <n v="7"/>
    <n v="5"/>
    <n v="8"/>
    <n v="10.5"/>
    <n v="5.8"/>
    <s v="Yes"/>
  </r>
  <r>
    <s v="U0103"/>
    <x v="33"/>
    <x v="1"/>
    <x v="6"/>
    <x v="0"/>
    <x v="5"/>
    <x v="9"/>
    <n v="627"/>
    <x v="5"/>
    <x v="1"/>
    <x v="18"/>
    <s v="Handling customer inquiries via AI chatbots, resolving complaints using AI-powered ticketing systems, processing refunds and returns with AI assistance"/>
    <n v="0"/>
    <n v="2.2999999999999998"/>
    <n v="4"/>
    <n v="5"/>
    <n v="3"/>
    <n v="6.9"/>
    <s v="Yes"/>
  </r>
  <r>
    <s v="U0265"/>
    <x v="28"/>
    <x v="0"/>
    <x v="7"/>
    <x v="0"/>
    <x v="1"/>
    <x v="28"/>
    <n v="863"/>
    <x v="5"/>
    <x v="6"/>
    <x v="48"/>
    <s v="AI-assisted blog post creation, email copywriting with AI tools, social media content generation, SEO-optimized article drafting"/>
    <m/>
    <n v="5.0999999999999996"/>
    <n v="4"/>
    <n v="6"/>
    <n v="2.7"/>
    <n v="10.3"/>
    <s v="Maybe"/>
  </r>
  <r>
    <s v="U0051"/>
    <x v="8"/>
    <x v="1"/>
    <x v="2"/>
    <x v="1"/>
    <x v="4"/>
    <x v="21"/>
    <n v="0"/>
    <x v="4"/>
    <x v="8"/>
    <x v="0"/>
    <s v="Summarizing course lecture notes, generating practice questions for exams, translating academic articles into simpler terms, proofreading and organizing assignment drafts"/>
    <n v="0"/>
    <n v="4.9000000000000004"/>
    <m/>
    <n v="6"/>
    <n v="4.3"/>
    <n v="8.3000000000000007"/>
    <s v="No"/>
  </r>
  <r>
    <s v="U0281"/>
    <x v="8"/>
    <x v="0"/>
    <x v="6"/>
    <x v="1"/>
    <x v="0"/>
    <x v="15"/>
    <n v="167"/>
    <x v="0"/>
    <x v="6"/>
    <x v="72"/>
    <s v="Essay structuring and outlining, Research paper writing assistance, Academic content proofreading and editing, Creative writing feedback generation"/>
    <n v="0"/>
    <n v="7.6"/>
    <m/>
    <n v="6"/>
    <n v="17.7"/>
    <n v="5.5"/>
    <s v="No"/>
  </r>
  <r>
    <s v="U0206"/>
    <x v="22"/>
    <x v="0"/>
    <x v="3"/>
    <x v="1"/>
    <x v="3"/>
    <x v="112"/>
    <n v="73"/>
    <x v="0"/>
    <x v="6"/>
    <x v="30"/>
    <s v="Essay drafting and structuring, Grammar and style checking for academic papers, Creative writing brainstorming and editing"/>
    <n v="0"/>
    <n v="3.4"/>
    <n v="2"/>
    <n v="4"/>
    <n v="1.5"/>
    <n v="5.8"/>
    <s v="Yes"/>
  </r>
  <r>
    <s v="U0262"/>
    <x v="11"/>
    <x v="1"/>
    <x v="6"/>
    <x v="1"/>
    <x v="3"/>
    <x v="15"/>
    <m/>
    <x v="0"/>
    <x v="6"/>
    <x v="56"/>
    <s v="Essay drafting and structure planning, Grammar checking and proofreading, Research paper summarization, Creative writing feedback and refinement"/>
    <n v="0"/>
    <n v="7.5"/>
    <n v="4"/>
    <m/>
    <n v="17.2"/>
    <n v="4.0999999999999996"/>
    <s v="Yes"/>
  </r>
  <r>
    <s v="U0085"/>
    <x v="1"/>
    <x v="0"/>
    <x v="2"/>
    <x v="1"/>
    <x v="6"/>
    <x v="113"/>
    <n v="518"/>
    <x v="8"/>
    <x v="8"/>
    <x v="73"/>
    <s v="Generating practice problems for quantum mechanics, Getting explanations for complex mathematical proofs, Creating study summaries from research papers, Preparing for physics competitions"/>
    <n v="20"/>
    <n v="5.2"/>
    <n v="4"/>
    <n v="8"/>
    <n v="4.8"/>
    <n v="20"/>
    <s v="Yes"/>
  </r>
  <r>
    <s v="U0235"/>
    <x v="42"/>
    <x v="0"/>
    <x v="6"/>
    <x v="0"/>
    <x v="0"/>
    <x v="53"/>
    <n v="1114"/>
    <x v="6"/>
    <x v="6"/>
    <x v="30"/>
    <s v="AI-assisted article writing, generating blog post outlines, proofreading and editing content using AI tools, creating marketing copy"/>
    <n v="30"/>
    <n v="3.8"/>
    <n v="4"/>
    <n v="7"/>
    <n v="1.5"/>
    <n v="7.9"/>
    <s v="Yes"/>
  </r>
  <r>
    <s v="U0142"/>
    <x v="10"/>
    <x v="1"/>
    <x v="0"/>
    <x v="1"/>
    <x v="3"/>
    <x v="67"/>
    <n v="528"/>
    <x v="2"/>
    <x v="8"/>
    <x v="5"/>
    <s v="Generating study summaries from lecture notes, debugging Python code for coursework assignments, explaining complex statistical concepts, creating practice problems for exam preparation"/>
    <n v="10"/>
    <m/>
    <n v="3"/>
    <n v="5"/>
    <n v="5.5"/>
    <n v="5.7"/>
    <s v="Yes"/>
  </r>
  <r>
    <s v="U0097"/>
    <x v="4"/>
    <x v="0"/>
    <x v="8"/>
    <x v="1"/>
    <x v="0"/>
    <x v="75"/>
    <n v="524"/>
    <x v="0"/>
    <x v="6"/>
    <x v="36"/>
    <s v="AI-assisted essay structuring, thesis literature review synthesis, manuscript editing and proofreading, dialogue generation for fiction writing"/>
    <n v="100"/>
    <n v="9.4"/>
    <n v="3"/>
    <n v="8"/>
    <n v="11.7"/>
    <n v="6.5"/>
    <s v="Yes"/>
  </r>
  <r>
    <s v="U0034"/>
    <x v="17"/>
    <x v="1"/>
    <x v="5"/>
    <x v="1"/>
    <x v="3"/>
    <x v="24"/>
    <n v="0"/>
    <x v="5"/>
    <x v="8"/>
    <x v="15"/>
    <s v="Using AI for essay writing assistance, generating practice problems for programming exercises, creating study notes and summaries from lecture materials"/>
    <m/>
    <n v="4.9000000000000004"/>
    <n v="4"/>
    <n v="6"/>
    <n v="2.5"/>
    <n v="6.1"/>
    <s v="No"/>
  </r>
  <r>
    <s v="U0256"/>
    <x v="27"/>
    <x v="0"/>
    <x v="7"/>
    <x v="0"/>
    <x v="1"/>
    <x v="114"/>
    <n v="915"/>
    <x v="0"/>
    <x v="1"/>
    <x v="74"/>
    <s v="AI chatbot management for customer inquiries, complaint resolution using AI ticketing systems, customer feedback analysis with AI sentiment analysis tools"/>
    <n v="0"/>
    <n v="10"/>
    <n v="2"/>
    <n v="8"/>
    <m/>
    <n v="6.6"/>
    <s v="Yes"/>
  </r>
  <r>
    <s v="U0110"/>
    <x v="27"/>
    <x v="0"/>
    <x v="6"/>
    <x v="0"/>
    <x v="5"/>
    <x v="115"/>
    <n v="483"/>
    <x v="7"/>
    <x v="1"/>
    <x v="17"/>
    <s v="AI chatbot ticket routing, customer complaint analysis and resolution, live chat support with AI assistance, response template generation"/>
    <n v="25"/>
    <n v="4.9000000000000004"/>
    <n v="4"/>
    <n v="6"/>
    <n v="4"/>
    <n v="7.1"/>
    <s v="Yes"/>
  </r>
  <r>
    <s v="U0270"/>
    <x v="33"/>
    <x v="1"/>
    <x v="11"/>
    <x v="0"/>
    <x v="5"/>
    <x v="116"/>
    <n v="3795"/>
    <x v="6"/>
    <x v="2"/>
    <x v="54"/>
    <s v="Code generation and bug fixing with AI assistants, refactoring legacy code, AI-powered code review and optimization"/>
    <n v="20"/>
    <n v="7.8"/>
    <n v="4"/>
    <n v="6"/>
    <n v="8.4"/>
    <n v="6.8"/>
    <s v="Yes"/>
  </r>
  <r>
    <s v="U0159"/>
    <x v="11"/>
    <x v="0"/>
    <x v="11"/>
    <x v="0"/>
    <x v="0"/>
    <x v="117"/>
    <n v="5976"/>
    <x v="0"/>
    <x v="0"/>
    <x v="0"/>
    <s v="Email management and scheduling with AI assistance, automated report generation and data analysis, AI-powered document creation and editing, meeting notes summarization"/>
    <n v="0"/>
    <n v="5"/>
    <n v="2"/>
    <n v="5"/>
    <n v="5.8"/>
    <n v="6.6"/>
    <s v="Maybe"/>
  </r>
  <r>
    <s v="U0283"/>
    <x v="2"/>
    <x v="1"/>
    <x v="0"/>
    <x v="0"/>
    <x v="1"/>
    <x v="0"/>
    <n v="3513"/>
    <x v="2"/>
    <x v="4"/>
    <x v="5"/>
    <s v="Building predictive models with Python and scikit-learn, Automating data pipeline creation with AI assistants, Generating business intelligence dashboards and reports, Interpreting complex datasets for stakeholder insights"/>
    <n v="0"/>
    <m/>
    <n v="4"/>
    <n v="7"/>
    <n v="1.9"/>
    <n v="8"/>
    <s v="Yes"/>
  </r>
  <r>
    <s v="U0202"/>
    <x v="4"/>
    <x v="0"/>
    <x v="6"/>
    <x v="1"/>
    <x v="1"/>
    <x v="43"/>
    <n v="110"/>
    <x v="0"/>
    <x v="7"/>
    <x v="49"/>
    <m/>
    <n v="0"/>
    <n v="6.3"/>
    <n v="5"/>
    <n v="10"/>
    <n v="5.9"/>
    <n v="8.1999999999999993"/>
    <s v="Yes"/>
  </r>
  <r>
    <s v="U0200"/>
    <x v="36"/>
    <x v="0"/>
    <x v="1"/>
    <x v="0"/>
    <x v="5"/>
    <x v="118"/>
    <n v="2690"/>
    <x v="7"/>
    <x v="2"/>
    <x v="17"/>
    <s v="Debugging code with AI assistance, Generating boilerplate code using AI, Code review with automated analysis tools"/>
    <n v="10"/>
    <n v="1.6"/>
    <m/>
    <n v="3"/>
    <n v="2.2000000000000002"/>
    <n v="6.5"/>
    <s v="No"/>
  </r>
  <r>
    <s v="U0040"/>
    <x v="15"/>
    <x v="3"/>
    <x v="0"/>
    <x v="0"/>
    <x v="1"/>
    <x v="9"/>
    <n v="4102"/>
    <x v="4"/>
    <x v="5"/>
    <x v="61"/>
    <s v="Writing blog posts and articles using AI writing assistants, generating social media content calendars with AI tools, editing and repurposing video content with AI-powered software"/>
    <n v="10"/>
    <n v="6.1"/>
    <n v="5"/>
    <n v="7"/>
    <n v="5.6"/>
    <n v="7.5"/>
    <s v="Yes"/>
  </r>
  <r>
    <s v="U0183"/>
    <x v="15"/>
    <x v="1"/>
    <x v="1"/>
    <x v="1"/>
    <x v="1"/>
    <x v="15"/>
    <n v="390"/>
    <x v="7"/>
    <x v="6"/>
    <x v="75"/>
    <s v="Essay outlining and structure planning, grammar checking and proofreading, creative writing brainstorming, research paper citation formatting"/>
    <n v="0"/>
    <n v="8.9"/>
    <n v="4"/>
    <n v="9"/>
    <n v="14.2"/>
    <n v="6"/>
    <s v="Yes"/>
  </r>
  <r>
    <s v="U0098"/>
    <x v="11"/>
    <x v="1"/>
    <x v="0"/>
    <x v="1"/>
    <x v="1"/>
    <x v="2"/>
    <n v="312"/>
    <x v="6"/>
    <x v="2"/>
    <x v="18"/>
    <s v="Debugging code with AI assistance, generating boilerplate code, learning new programming frameworks, optimizing algorithm solutions"/>
    <n v="0"/>
    <n v="5.0999999999999996"/>
    <n v="4"/>
    <n v="6"/>
    <n v="4.8"/>
    <n v="4.0999999999999996"/>
    <s v="No"/>
  </r>
  <r>
    <s v="U0109"/>
    <x v="1"/>
    <x v="1"/>
    <x v="2"/>
    <x v="1"/>
    <x v="4"/>
    <x v="2"/>
    <n v="595"/>
    <x v="0"/>
    <x v="2"/>
    <x v="29"/>
    <s v="Debugging Python code with AI assistance, generating HTML/CSS templates for web projects, explaining algorithmic concepts and data structures"/>
    <n v="0"/>
    <n v="7.4"/>
    <n v="3"/>
    <n v="7"/>
    <n v="15.8"/>
    <n v="6.1"/>
    <s v="Yes"/>
  </r>
  <r>
    <s v="U0280"/>
    <x v="10"/>
    <x v="0"/>
    <x v="3"/>
    <x v="1"/>
    <x v="0"/>
    <x v="13"/>
    <n v="82"/>
    <x v="4"/>
    <x v="2"/>
    <x v="10"/>
    <s v="Debugging Python code with AI assistance, generating code snippets for machine learning projects, optimizing algorithm performance, documenting technical solutions"/>
    <n v="0"/>
    <n v="2.1"/>
    <n v="4"/>
    <n v="6"/>
    <n v="1.2"/>
    <n v="8.3000000000000007"/>
    <s v="Yes"/>
  </r>
  <r>
    <s v="U0188"/>
    <x v="34"/>
    <x v="3"/>
    <x v="4"/>
    <x v="1"/>
    <x v="4"/>
    <x v="119"/>
    <n v="482"/>
    <x v="7"/>
    <x v="7"/>
    <x v="74"/>
    <s v="Literature review and document summarization, Historical timeline creation and fact verification, Research paper outline generation"/>
    <n v="0"/>
    <n v="7.6"/>
    <n v="5"/>
    <n v="8"/>
    <n v="13.1"/>
    <n v="6.8"/>
    <s v="Yes"/>
  </r>
  <r>
    <s v="U0170"/>
    <x v="30"/>
    <x v="1"/>
    <x v="6"/>
    <x v="0"/>
    <x v="1"/>
    <x v="115"/>
    <n v="983"/>
    <x v="3"/>
    <x v="1"/>
    <x v="9"/>
    <s v="Resolving customer inquiries using AI chatbots, analyzing customer feedback with sentiment analysis tools, ticket prioritization using AI systems"/>
    <n v="20"/>
    <n v="7"/>
    <n v="3"/>
    <n v="5"/>
    <m/>
    <n v="9.9"/>
    <s v="Yes"/>
  </r>
  <r>
    <s v="U0068"/>
    <x v="11"/>
    <x v="0"/>
    <x v="3"/>
    <x v="1"/>
    <x v="4"/>
    <x v="4"/>
    <n v="0"/>
    <x v="0"/>
    <x v="8"/>
    <x v="30"/>
    <s v="Using AI to generate practice questions for exams, translating English scientific articles to Portuguese, summarizing complex biological concepts, creating study guides"/>
    <n v="0"/>
    <n v="3.8"/>
    <n v="2"/>
    <n v="6"/>
    <n v="0.1"/>
    <n v="2.6"/>
    <s v="Yes"/>
  </r>
  <r>
    <s v="U0104"/>
    <x v="22"/>
    <x v="1"/>
    <x v="7"/>
    <x v="1"/>
    <x v="2"/>
    <x v="11"/>
    <n v="54"/>
    <x v="0"/>
    <x v="7"/>
    <x v="8"/>
    <s v="Literature review automation, research paper summarization, data analysis for experiments, thesis writing assistance"/>
    <n v="20"/>
    <m/>
    <n v="3"/>
    <n v="5"/>
    <n v="5"/>
    <n v="6.9"/>
    <s v="Maybe"/>
  </r>
  <r>
    <s v="U0077"/>
    <x v="5"/>
    <x v="1"/>
    <x v="5"/>
    <x v="1"/>
    <x v="3"/>
    <x v="24"/>
    <n v="76"/>
    <x v="0"/>
    <x v="4"/>
    <x v="6"/>
    <s v="Data visualization with charts and graphs, Statistical analysis of survey datasets, Data cleaning and preprocessing, Predictive modeling for business intelligence"/>
    <n v="0"/>
    <n v="3.4"/>
    <n v="3"/>
    <n v="5"/>
    <n v="3.7"/>
    <n v="8.1999999999999993"/>
    <s v="No"/>
  </r>
  <r>
    <s v="U0203"/>
    <x v="2"/>
    <x v="1"/>
    <x v="3"/>
    <x v="0"/>
    <x v="1"/>
    <x v="120"/>
    <n v="1991"/>
    <x v="4"/>
    <x v="2"/>
    <x v="3"/>
    <s v="Uso de GitHub Copilot para autocompletar c��digo, refatora����o de aplica����es com assist��ncia de IA, debugging de erros com ferramentas de an��lise inteligente"/>
    <n v="10"/>
    <n v="4"/>
    <n v="4"/>
    <n v="6"/>
    <n v="6.2"/>
    <n v="7.3"/>
    <s v="Yes"/>
  </r>
  <r>
    <s v="U0009"/>
    <x v="8"/>
    <x v="1"/>
    <x v="9"/>
    <x v="1"/>
    <x v="1"/>
    <x v="13"/>
    <n v="0"/>
    <x v="4"/>
    <x v="2"/>
    <x v="49"/>
    <s v="Debugging code with AI assistance, generating boilerplate code templates, learning new programming frameworks, optimizing algorithms"/>
    <n v="0"/>
    <n v="6"/>
    <n v="2"/>
    <n v="6"/>
    <n v="6.4"/>
    <n v="5.5"/>
    <s v="Yes"/>
  </r>
  <r>
    <s v="U0140"/>
    <x v="3"/>
    <x v="1"/>
    <x v="1"/>
    <x v="1"/>
    <x v="3"/>
    <x v="51"/>
    <n v="0"/>
    <x v="6"/>
    <x v="7"/>
    <x v="57"/>
    <s v="Literature review and paper summarization, experiment data analysis and visualization, hypothesis generation for lab research, scientific journal article organization and annotation"/>
    <n v="20"/>
    <n v="5"/>
    <n v="3"/>
    <n v="6"/>
    <n v="6.9"/>
    <n v="6.5"/>
    <s v="Maybe"/>
  </r>
  <r>
    <s v="U0121"/>
    <x v="13"/>
    <x v="0"/>
    <x v="8"/>
    <x v="1"/>
    <x v="3"/>
    <x v="5"/>
    <n v="435"/>
    <x v="3"/>
    <x v="8"/>
    <x v="37"/>
    <s v="Summarizing academic research papers, generating study guides for exams, brainstorming project ideas, debugging Python code assignments"/>
    <n v="10"/>
    <n v="5.5"/>
    <m/>
    <n v="6"/>
    <n v="7.7"/>
    <n v="4.5999999999999996"/>
    <s v="Yes"/>
  </r>
  <r>
    <s v="U0201"/>
    <x v="9"/>
    <x v="1"/>
    <x v="2"/>
    <x v="1"/>
    <x v="3"/>
    <x v="15"/>
    <n v="678"/>
    <x v="0"/>
    <x v="6"/>
    <x v="52"/>
    <s v="Essay outlining and structure planning, Grammar and style checking on assignments, Research paper summarization and citation formatting"/>
    <n v="0"/>
    <n v="4"/>
    <n v="4"/>
    <n v="6"/>
    <n v="7.1"/>
    <n v="6.7"/>
    <s v="No"/>
  </r>
  <r>
    <s v="U0021"/>
    <x v="13"/>
    <x v="1"/>
    <x v="0"/>
    <x v="0"/>
    <x v="4"/>
    <x v="58"/>
    <n v="4006"/>
    <x v="6"/>
    <x v="2"/>
    <x v="54"/>
    <s v="Code debugging with AI assistance, automated test case generation, SQL query optimization, documentation writing with AI tools"/>
    <n v="25"/>
    <n v="6.1"/>
    <n v="3"/>
    <n v="6"/>
    <n v="8.3000000000000007"/>
    <n v="7.8"/>
    <s v="Yes"/>
  </r>
  <r>
    <s v="U0267"/>
    <x v="5"/>
    <x v="0"/>
    <x v="1"/>
    <x v="1"/>
    <x v="6"/>
    <x v="9"/>
    <n v="707"/>
    <x v="0"/>
    <x v="4"/>
    <x v="59"/>
    <s v="Statistical modeling of biological datasets, machine learning prediction model development, exploratory data analysis of genomic sequences, data visualization and interpretation"/>
    <n v="0"/>
    <n v="5.0999999999999996"/>
    <n v="3"/>
    <n v="7"/>
    <n v="5.0999999999999996"/>
    <n v="4.9000000000000004"/>
    <s v="Yes"/>
  </r>
  <r>
    <s v="U0044"/>
    <x v="24"/>
    <x v="1"/>
    <x v="11"/>
    <x v="1"/>
    <x v="1"/>
    <x v="67"/>
    <n v="523"/>
    <x v="8"/>
    <x v="7"/>
    <x v="0"/>
    <s v="Literature review and paper summarization, statistical analysis and data interpretation, research methodology design, thesis data analysis and visualization"/>
    <n v="0"/>
    <n v="5.6"/>
    <n v="4"/>
    <n v="6"/>
    <n v="3.8"/>
    <n v="2.8"/>
    <s v="Yes"/>
  </r>
  <r>
    <s v="U0276"/>
    <x v="20"/>
    <x v="3"/>
    <x v="5"/>
    <x v="1"/>
    <x v="2"/>
    <x v="15"/>
    <n v="93"/>
    <x v="0"/>
    <x v="6"/>
    <x v="23"/>
    <s v="Essay drafting and structure planning, grammar checking and proofreading, creative writing prompts for assignments, research paper organization and citation formatting"/>
    <n v="10"/>
    <n v="4.2"/>
    <n v="3"/>
    <n v="4"/>
    <n v="3.4"/>
    <n v="6.1"/>
    <s v="No"/>
  </r>
  <r>
    <s v="U0232"/>
    <x v="14"/>
    <x v="1"/>
    <x v="4"/>
    <x v="0"/>
    <x v="1"/>
    <x v="121"/>
    <n v="5785"/>
    <x v="3"/>
    <x v="4"/>
    <x v="3"/>
    <s v="Nettoyage et pr��paration de donn��es avec Python, cr��ation de dashboards interactifs sur Power BI, analyse statistique de tendances march��, g��n��ration de rapports automatis��s avec SQL"/>
    <n v="0"/>
    <n v="6"/>
    <m/>
    <n v="7"/>
    <n v="3.7"/>
    <n v="6.4"/>
    <s v="Yes"/>
  </r>
  <r>
    <s v="U0252"/>
    <x v="2"/>
    <x v="1"/>
    <x v="0"/>
    <x v="0"/>
    <x v="0"/>
    <x v="122"/>
    <n v="3114"/>
    <x v="2"/>
    <x v="7"/>
    <x v="1"/>
    <s v="Literature review analysis using AI tools, Research data synthesis and pattern identification, Experimental hypothesis generation using machine learning models, Scientific paper writing and citation management with AI assistance"/>
    <n v="0"/>
    <n v="5.9"/>
    <n v="3"/>
    <n v="7"/>
    <n v="13.4"/>
    <n v="9"/>
    <s v="Yes"/>
  </r>
  <r>
    <s v="U0145"/>
    <x v="34"/>
    <x v="1"/>
    <x v="0"/>
    <x v="0"/>
    <x v="0"/>
    <x v="103"/>
    <n v="4186"/>
    <x v="0"/>
    <x v="6"/>
    <x v="10"/>
    <s v="Using AI to generate article outlines and research summaries, editing and refining AI-generated copy for brand consistency, creating SEO-optimized content briefs with AI assistance"/>
    <n v="0"/>
    <n v="3.9"/>
    <n v="4"/>
    <n v="6"/>
    <n v="4.3"/>
    <n v="9"/>
    <s v="Maybe"/>
  </r>
  <r>
    <s v="U0229"/>
    <x v="20"/>
    <x v="1"/>
    <x v="6"/>
    <x v="1"/>
    <x v="1"/>
    <x v="15"/>
    <n v="0"/>
    <x v="0"/>
    <x v="6"/>
    <x v="7"/>
    <s v="Essay drafting and editing, creative writing brainstorming, research paper organization, grammar and tone refinement"/>
    <n v="0"/>
    <n v="5.2"/>
    <n v="2"/>
    <n v="5"/>
    <n v="5.3"/>
    <n v="8.4"/>
    <s v="Yes"/>
  </r>
  <r>
    <s v="U0010"/>
    <x v="36"/>
    <x v="1"/>
    <x v="10"/>
    <x v="0"/>
    <x v="1"/>
    <x v="28"/>
    <n v="243"/>
    <x v="0"/>
    <x v="6"/>
    <x v="73"/>
    <s v="Blog post creation, email copywriting, social media content drafting, document editing and proofreading"/>
    <n v="0"/>
    <m/>
    <n v="3"/>
    <n v="6"/>
    <n v="10"/>
    <n v="7.2"/>
    <s v="Maybe"/>
  </r>
  <r>
    <s v="U0146"/>
    <x v="17"/>
    <x v="1"/>
    <x v="1"/>
    <x v="1"/>
    <x v="1"/>
    <x v="4"/>
    <n v="540"/>
    <x v="0"/>
    <x v="8"/>
    <x v="41"/>
    <s v="Writing lab reports, studying for exams using AI tutors, organizing research notes"/>
    <n v="20"/>
    <n v="5.8"/>
    <n v="2"/>
    <n v="6"/>
    <n v="8.1"/>
    <n v="5.2"/>
    <s v="No"/>
  </r>
  <r>
    <s v="U0197"/>
    <x v="4"/>
    <x v="0"/>
    <x v="3"/>
    <x v="1"/>
    <x v="4"/>
    <x v="15"/>
    <n v="152"/>
    <x v="6"/>
    <x v="6"/>
    <x v="38"/>
    <s v="Essay outlining and structure planning, grammar and style checking for assignments, creative writing brainstorming and plot development"/>
    <n v="10"/>
    <n v="2.2999999999999998"/>
    <n v="5"/>
    <n v="7"/>
    <n v="3.1"/>
    <n v="5.9"/>
    <s v="Yes"/>
  </r>
  <r>
    <s v="U0186"/>
    <x v="42"/>
    <x v="3"/>
    <x v="5"/>
    <x v="0"/>
    <x v="6"/>
    <x v="123"/>
    <n v="1148"/>
    <x v="5"/>
    <x v="6"/>
    <x v="41"/>
    <s v="Drafting research papers and abstracts using AI writing assistants, Editing and refining academic manuscripts for journal submissions, Generating technical documentation and course materials"/>
    <n v="50"/>
    <n v="7.2"/>
    <n v="5"/>
    <n v="7"/>
    <n v="4.8"/>
    <n v="5.9"/>
    <s v="Yes"/>
  </r>
  <r>
    <s v="U0287"/>
    <x v="8"/>
    <x v="0"/>
    <x v="6"/>
    <x v="1"/>
    <x v="3"/>
    <x v="11"/>
    <n v="0"/>
    <x v="1"/>
    <x v="8"/>
    <x v="27"/>
    <s v="Generating solved examples for thermodynamics problems, Creating study summaries from lecture notes, Debugging code for programming assignments"/>
    <n v="20"/>
    <n v="3.4"/>
    <n v="4"/>
    <n v="6"/>
    <n v="4.8"/>
    <n v="6.2"/>
    <s v="No"/>
  </r>
  <r>
    <s v="U0147"/>
    <x v="27"/>
    <x v="3"/>
    <x v="3"/>
    <x v="0"/>
    <x v="5"/>
    <x v="124"/>
    <n v="894"/>
    <x v="0"/>
    <x v="4"/>
    <x v="57"/>
    <m/>
    <n v="20"/>
    <n v="7.9"/>
    <n v="4"/>
    <n v="9"/>
    <n v="3.9"/>
    <n v="9.1999999999999993"/>
    <s v="Yes"/>
  </r>
  <r>
    <s v="U0134"/>
    <x v="34"/>
    <x v="0"/>
    <x v="2"/>
    <x v="1"/>
    <x v="3"/>
    <x v="8"/>
    <n v="675"/>
    <x v="3"/>
    <x v="5"/>
    <x v="6"/>
    <s v="Generating video scripts and storyboards, Creating AI-enhanced graphics and visual assets, Writing and editing blog posts and social media content"/>
    <n v="20"/>
    <n v="4.0999999999999996"/>
    <n v="3"/>
    <n v="6"/>
    <n v="1.1000000000000001"/>
    <n v="7.6"/>
    <s v="Yes"/>
  </r>
  <r>
    <s v="U0158"/>
    <x v="24"/>
    <x v="0"/>
    <x v="8"/>
    <x v="1"/>
    <x v="3"/>
    <x v="9"/>
    <n v="204"/>
    <x v="1"/>
    <x v="6"/>
    <x v="17"/>
    <s v="Essay drafting and structuring, grammar and clarity checking, research paper outline generation, creative writing brainstorming"/>
    <n v="0"/>
    <n v="3.3"/>
    <n v="2"/>
    <n v="4"/>
    <n v="3.6"/>
    <n v="5.6"/>
    <s v="No"/>
  </r>
  <r>
    <s v="U0174"/>
    <x v="4"/>
    <x v="1"/>
    <x v="2"/>
    <x v="1"/>
    <x v="4"/>
    <x v="2"/>
    <n v="0"/>
    <x v="3"/>
    <x v="2"/>
    <x v="12"/>
    <s v="Debugging code errors, generating code snippets in Python and JavaScript, learning programming concepts through AI explanations"/>
    <n v="0"/>
    <n v="5.7"/>
    <n v="3"/>
    <n v="6"/>
    <n v="7.3"/>
    <n v="4.8"/>
    <s v="Maybe"/>
  </r>
  <r>
    <s v="U0066"/>
    <x v="15"/>
    <x v="0"/>
    <x v="1"/>
    <x v="0"/>
    <x v="1"/>
    <x v="9"/>
    <n v="8255"/>
    <x v="6"/>
    <x v="3"/>
    <x v="48"/>
    <s v="Code debugging with AI pair programming tools, automated test generation, code documentation and comments generation"/>
    <n v="0"/>
    <n v="1.8"/>
    <n v="3"/>
    <n v="4"/>
    <m/>
    <n v="12.2"/>
    <s v="No"/>
  </r>
  <r>
    <s v="U0094"/>
    <x v="19"/>
    <x v="0"/>
    <x v="10"/>
    <x v="0"/>
    <x v="5"/>
    <x v="125"/>
    <m/>
    <x v="0"/>
    <x v="5"/>
    <x v="6"/>
    <s v="Writing blog articles with AI writing assistants, generating social media graphics and captions using AI design tools, editing video content and creating thumbnails, managing and curating digital content for websites and social platforms"/>
    <n v="0"/>
    <n v="4.7"/>
    <n v="3"/>
    <m/>
    <n v="1"/>
    <n v="10.9"/>
    <s v="No"/>
  </r>
  <r>
    <s v="U0136"/>
    <x v="39"/>
    <x v="1"/>
    <x v="3"/>
    <x v="0"/>
    <x v="5"/>
    <x v="126"/>
    <n v="544"/>
    <x v="4"/>
    <x v="2"/>
    <x v="25"/>
    <s v="Code debugging and optimization with AI tools, automated test case generation, API development and integration, documentation generation"/>
    <n v="0"/>
    <n v="7.8"/>
    <n v="4"/>
    <n v="7"/>
    <n v="11.5"/>
    <n v="8.4"/>
    <s v="Yes"/>
  </r>
  <r>
    <s v="U0002"/>
    <x v="24"/>
    <x v="0"/>
    <x v="7"/>
    <x v="0"/>
    <x v="5"/>
    <x v="58"/>
    <n v="448"/>
    <x v="0"/>
    <x v="2"/>
    <x v="18"/>
    <s v="Automated code generation using AI assistants, debugging and fixing code with AI-powered tools, writing and optimizing SQL queries with AI support"/>
    <n v="0"/>
    <n v="4.3"/>
    <n v="3"/>
    <n v="4"/>
    <n v="1.7"/>
    <n v="9.5"/>
    <s v="No"/>
  </r>
  <r>
    <s v="U0130"/>
    <x v="7"/>
    <x v="0"/>
    <x v="1"/>
    <x v="0"/>
    <x v="5"/>
    <x v="12"/>
    <n v="6766"/>
    <x v="0"/>
    <x v="2"/>
    <x v="57"/>
    <s v="Debugging code with AI-assisted analysis, generating boilerplate code using AI tools, code review and optimization with AI suggestions"/>
    <n v="0"/>
    <n v="5.4"/>
    <n v="4"/>
    <n v="7"/>
    <n v="6.2"/>
    <n v="8.1999999999999993"/>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9576C7-1C66-47D2-B17D-AF5C70032349}" name="PivotTable7" cacheId="2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ountries">
  <location ref="D3:E17" firstHeaderRow="1" firstDataRow="1" firstDataCol="1"/>
  <pivotFields count="19">
    <pivotField dataField="1" showAll="0"/>
    <pivotField showAll="0"/>
    <pivotField showAll="0"/>
    <pivotField axis="axisRow" showAll="0">
      <items count="19">
        <item x="8"/>
        <item x="3"/>
        <item x="2"/>
        <item x="4"/>
        <item x="11"/>
        <item x="6"/>
        <item x="9"/>
        <item x="10"/>
        <item x="7"/>
        <item x="5"/>
        <item m="1" x="17"/>
        <item x="0"/>
        <item x="1"/>
        <item m="1" x="13"/>
        <item m="1" x="16"/>
        <item m="1" x="15"/>
        <item m="1" x="14"/>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4">
    <i>
      <x/>
    </i>
    <i>
      <x v="1"/>
    </i>
    <i>
      <x v="2"/>
    </i>
    <i>
      <x v="3"/>
    </i>
    <i>
      <x v="4"/>
    </i>
    <i>
      <x v="5"/>
    </i>
    <i>
      <x v="6"/>
    </i>
    <i>
      <x v="7"/>
    </i>
    <i>
      <x v="8"/>
    </i>
    <i>
      <x v="9"/>
    </i>
    <i>
      <x v="11"/>
    </i>
    <i>
      <x v="12"/>
    </i>
    <i>
      <x v="17"/>
    </i>
    <i t="grand">
      <x/>
    </i>
  </rowItems>
  <colItems count="1">
    <i/>
  </colItems>
  <dataFields count="1">
    <dataField name="Count of User_ID" fld="0" subtotal="count"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EAF90E-93C7-45F0-9258-3E80D1496270}" name="PivotTable31" cacheId="2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N135:Q138" firstHeaderRow="0" firstDataRow="1" firstDataCol="1"/>
  <pivotFields count="19">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dataField="1" showAll="0"/>
    <pivotField dataField="1" showAll="0"/>
    <pivotField showAll="0"/>
  </pivotFields>
  <rowFields count="1">
    <field x="4"/>
  </rowFields>
  <rowItems count="3">
    <i>
      <x/>
    </i>
    <i>
      <x v="1"/>
    </i>
    <i t="grand">
      <x/>
    </i>
  </rowItems>
  <colFields count="1">
    <field x="-2"/>
  </colFields>
  <colItems count="3">
    <i>
      <x/>
    </i>
    <i i="1">
      <x v="1"/>
    </i>
    <i i="2">
      <x v="2"/>
    </i>
  </colItems>
  <dataFields count="3">
    <dataField name="Average of AI_Usage_Hours_Per_Day" fld="10" subtotal="average" baseField="4" baseItem="0"/>
    <dataField name="Average of Time_Saved_Hours_Per_Week" fld="16" subtotal="average" baseField="4" baseItem="0"/>
    <dataField name="Average of Work_or_Study_Hours_Per_Day" fld="17" subtotal="average" baseField="4" baseItem="0"/>
  </dataFields>
  <formats count="1">
    <format dxfId="16">
      <pivotArea outline="0" collapsedLevelsAreSubtotals="1" fieldPosition="0"/>
    </format>
  </formats>
  <chartFormats count="6">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D760D1-C486-4017-96AC-CAAF2567D0CA}" name="PivotTable30" cacheId="2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Usage Time">
  <location ref="K135:L212" firstHeaderRow="1" firstDataRow="1" firstDataCol="1"/>
  <pivotFields count="19">
    <pivotField showAll="0"/>
    <pivotField showAll="0"/>
    <pivotField showAll="0"/>
    <pivotField showAll="0"/>
    <pivotField showAll="0"/>
    <pivotField showAll="0"/>
    <pivotField showAll="0"/>
    <pivotField showAll="0"/>
    <pivotField showAll="0"/>
    <pivotField showAll="0"/>
    <pivotField axis="axisRow" showAll="0">
      <items count="77">
        <item x="38"/>
        <item x="17"/>
        <item x="18"/>
        <item x="10"/>
        <item x="15"/>
        <item x="2"/>
        <item x="59"/>
        <item x="6"/>
        <item x="32"/>
        <item x="35"/>
        <item x="5"/>
        <item x="7"/>
        <item x="3"/>
        <item x="48"/>
        <item x="24"/>
        <item x="0"/>
        <item x="42"/>
        <item x="33"/>
        <item x="23"/>
        <item x="27"/>
        <item x="61"/>
        <item x="16"/>
        <item x="8"/>
        <item x="57"/>
        <item x="54"/>
        <item x="52"/>
        <item x="65"/>
        <item x="73"/>
        <item x="49"/>
        <item x="37"/>
        <item x="39"/>
        <item x="46"/>
        <item x="22"/>
        <item x="50"/>
        <item x="12"/>
        <item x="51"/>
        <item x="4"/>
        <item x="69"/>
        <item x="41"/>
        <item x="62"/>
        <item x="68"/>
        <item x="34"/>
        <item x="45"/>
        <item x="40"/>
        <item x="9"/>
        <item x="26"/>
        <item x="21"/>
        <item x="66"/>
        <item x="20"/>
        <item x="25"/>
        <item x="1"/>
        <item x="11"/>
        <item x="58"/>
        <item x="74"/>
        <item x="64"/>
        <item x="70"/>
        <item x="53"/>
        <item x="67"/>
        <item x="43"/>
        <item x="60"/>
        <item x="36"/>
        <item x="19"/>
        <item x="31"/>
        <item x="75"/>
        <item x="29"/>
        <item x="71"/>
        <item x="47"/>
        <item x="72"/>
        <item x="28"/>
        <item x="55"/>
        <item x="13"/>
        <item x="56"/>
        <item x="63"/>
        <item x="44"/>
        <item x="14"/>
        <item x="30"/>
        <item t="default"/>
      </items>
    </pivotField>
    <pivotField showAll="0"/>
    <pivotField showAll="0"/>
    <pivotField showAll="0"/>
    <pivotField showAll="0"/>
    <pivotField showAll="0"/>
    <pivotField dataField="1" showAll="0"/>
    <pivotField showAll="0"/>
    <pivotField showAll="0"/>
  </pivotFields>
  <rowFields count="1">
    <field x="10"/>
  </rowFields>
  <rowItems count="7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t="grand">
      <x/>
    </i>
  </rowItems>
  <colItems count="1">
    <i/>
  </colItems>
  <dataFields count="1">
    <dataField name="Average of Time_Saved_Hours_Per_Week" fld="16" subtotal="average" baseField="10" baseItem="44"/>
  </dataFields>
  <formats count="1">
    <format dxfId="15">
      <pivotArea collapsedLevelsAreSubtotals="1" fieldPosition="0">
        <references count="1">
          <reference field="10" count="31">
            <x v="44"/>
            <x v="45"/>
            <x v="46"/>
            <x v="47"/>
            <x v="48"/>
            <x v="49"/>
            <x v="50"/>
            <x v="51"/>
            <x v="52"/>
            <x v="53"/>
            <x v="54"/>
            <x v="55"/>
            <x v="56"/>
            <x v="57"/>
            <x v="58"/>
            <x v="59"/>
            <x v="60"/>
            <x v="61"/>
            <x v="62"/>
            <x v="63"/>
            <x v="64"/>
            <x v="65"/>
            <x v="66"/>
            <x v="67"/>
            <x v="68"/>
            <x v="69"/>
            <x v="70"/>
            <x v="71"/>
            <x v="72"/>
            <x v="73"/>
            <x v="7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A0EE5F-756F-4631-80AA-BB95997A5F35}" name="PivotTable29" cacheId="2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rofession">
  <location ref="H135:I263" firstHeaderRow="1" firstDataRow="1" firstDataCol="1"/>
  <pivotFields count="19">
    <pivotField showAll="0"/>
    <pivotField showAll="0"/>
    <pivotField showAll="0"/>
    <pivotField showAll="0"/>
    <pivotField showAll="0"/>
    <pivotField showAll="0"/>
    <pivotField axis="axisRow" showAll="0">
      <items count="128">
        <item x="123"/>
        <item x="42"/>
        <item x="66"/>
        <item x="90"/>
        <item x="73"/>
        <item x="63"/>
        <item x="17"/>
        <item x="124"/>
        <item x="88"/>
        <item x="121"/>
        <item x="86"/>
        <item x="31"/>
        <item x="49"/>
        <item x="107"/>
        <item x="40"/>
        <item x="4"/>
        <item x="94"/>
        <item x="84"/>
        <item x="97"/>
        <item x="43"/>
        <item x="21"/>
        <item x="0"/>
        <item x="5"/>
        <item x="38"/>
        <item x="76"/>
        <item x="2"/>
        <item x="78"/>
        <item x="72"/>
        <item x="37"/>
        <item x="103"/>
        <item x="56"/>
        <item x="32"/>
        <item x="28"/>
        <item x="75"/>
        <item x="65"/>
        <item x="114"/>
        <item x="52"/>
        <item x="115"/>
        <item x="91"/>
        <item x="1"/>
        <item x="68"/>
        <item x="14"/>
        <item x="106"/>
        <item x="26"/>
        <item x="48"/>
        <item x="47"/>
        <item x="67"/>
        <item x="96"/>
        <item x="126"/>
        <item x="105"/>
        <item x="39"/>
        <item x="69"/>
        <item x="120"/>
        <item x="3"/>
        <item x="19"/>
        <item x="93"/>
        <item x="50"/>
        <item x="110"/>
        <item x="108"/>
        <item x="70"/>
        <item x="89"/>
        <item x="41"/>
        <item x="8"/>
        <item x="36"/>
        <item x="6"/>
        <item x="100"/>
        <item x="98"/>
        <item x="99"/>
        <item x="57"/>
        <item x="27"/>
        <item x="23"/>
        <item x="15"/>
        <item x="45"/>
        <item x="64"/>
        <item x="74"/>
        <item x="87"/>
        <item x="59"/>
        <item x="119"/>
        <item x="24"/>
        <item x="58"/>
        <item x="79"/>
        <item x="80"/>
        <item x="18"/>
        <item x="112"/>
        <item x="60"/>
        <item x="71"/>
        <item x="35"/>
        <item x="62"/>
        <item x="11"/>
        <item x="51"/>
        <item x="125"/>
        <item x="20"/>
        <item x="82"/>
        <item x="85"/>
        <item x="117"/>
        <item x="109"/>
        <item x="95"/>
        <item x="10"/>
        <item x="22"/>
        <item x="122"/>
        <item x="102"/>
        <item x="30"/>
        <item x="16"/>
        <item x="34"/>
        <item x="53"/>
        <item x="55"/>
        <item x="54"/>
        <item x="77"/>
        <item x="81"/>
        <item x="46"/>
        <item x="25"/>
        <item x="44"/>
        <item x="101"/>
        <item x="29"/>
        <item x="7"/>
        <item x="33"/>
        <item x="12"/>
        <item x="104"/>
        <item x="61"/>
        <item x="13"/>
        <item x="118"/>
        <item x="116"/>
        <item x="92"/>
        <item x="111"/>
        <item x="83"/>
        <item x="113"/>
        <item x="9"/>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6"/>
  </rowFields>
  <rowItems count="12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t="grand">
      <x/>
    </i>
  </rowItems>
  <colItems count="1">
    <i/>
  </colItems>
  <dataFields count="1">
    <dataField name="Average of Time_Saved_Hours_Per_Week" fld="16" subtotal="average" baseField="6" baseItem="1"/>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FBD16A-382F-4479-B6A4-05BD3C5AFE80}" name="PivotTable28" cacheId="2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I tool">
  <location ref="E135:F145" firstHeaderRow="1" firstDataRow="1" firstDataCol="1"/>
  <pivotFields count="19">
    <pivotField showAll="0"/>
    <pivotField showAll="0"/>
    <pivotField showAll="0"/>
    <pivotField showAll="0"/>
    <pivotField showAll="0"/>
    <pivotField showAll="0"/>
    <pivotField showAll="0"/>
    <pivotField showAll="0"/>
    <pivotField axis="axisRow" showAll="0">
      <items count="13">
        <item x="0"/>
        <item m="1" x="11"/>
        <item x="3"/>
        <item x="6"/>
        <item x="7"/>
        <item x="4"/>
        <item m="1" x="9"/>
        <item x="5"/>
        <item x="1"/>
        <item m="1" x="10"/>
        <item x="2"/>
        <item x="8"/>
        <item t="default"/>
      </items>
    </pivotField>
    <pivotField showAll="0"/>
    <pivotField showAll="0"/>
    <pivotField showAll="0"/>
    <pivotField showAll="0"/>
    <pivotField showAll="0"/>
    <pivotField showAll="0"/>
    <pivotField showAll="0"/>
    <pivotField dataField="1" showAll="0"/>
    <pivotField showAll="0"/>
    <pivotField showAll="0"/>
  </pivotFields>
  <rowFields count="1">
    <field x="8"/>
  </rowFields>
  <rowItems count="10">
    <i>
      <x/>
    </i>
    <i>
      <x v="2"/>
    </i>
    <i>
      <x v="3"/>
    </i>
    <i>
      <x v="4"/>
    </i>
    <i>
      <x v="5"/>
    </i>
    <i>
      <x v="7"/>
    </i>
    <i>
      <x v="8"/>
    </i>
    <i>
      <x v="10"/>
    </i>
    <i>
      <x v="11"/>
    </i>
    <i t="grand">
      <x/>
    </i>
  </rowItems>
  <colItems count="1">
    <i/>
  </colItems>
  <dataFields count="1">
    <dataField name="Sum of Time_Saved_Hours_Per_Week" fld="16"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ABF87D-0996-4040-928D-996BBF5AF4BB}" name="PivotTable27" cacheId="2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35:C138" firstHeaderRow="1" firstDataRow="1" firstDataCol="1"/>
  <pivotFields count="19">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4"/>
  </rowFields>
  <rowItems count="3">
    <i>
      <x/>
    </i>
    <i>
      <x v="1"/>
    </i>
    <i t="grand">
      <x/>
    </i>
  </rowItems>
  <colItems count="1">
    <i/>
  </colItems>
  <dataFields count="1">
    <dataField name="Time Saved Hours_Per_Week" fld="16" baseField="4" baseItem="0"/>
  </dataField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4" count="1" selected="0">
            <x v="0"/>
          </reference>
        </references>
      </pivotArea>
    </chartFormat>
    <chartFormat chart="3"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C1E5EB-1795-49EF-BEFC-6ECE5003BC94}" name="PivotTable25" cacheId="2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Usage Hours">
  <location ref="K91:L120" firstHeaderRow="1" firstDataRow="1" firstDataCol="1"/>
  <pivotFields count="19">
    <pivotField showAll="0"/>
    <pivotField showAll="0"/>
    <pivotField showAll="0"/>
    <pivotField showAll="0"/>
    <pivotField showAll="0"/>
    <pivotField showAll="0"/>
    <pivotField showAll="0"/>
    <pivotField showAll="0"/>
    <pivotField showAll="0"/>
    <pivotField showAll="0"/>
    <pivotField axis="axisRow" showAll="0" measureFilter="1">
      <items count="77">
        <item x="38"/>
        <item x="17"/>
        <item x="18"/>
        <item x="10"/>
        <item x="15"/>
        <item x="2"/>
        <item x="59"/>
        <item x="6"/>
        <item x="32"/>
        <item x="35"/>
        <item x="5"/>
        <item x="7"/>
        <item x="3"/>
        <item x="48"/>
        <item x="24"/>
        <item x="0"/>
        <item x="42"/>
        <item x="33"/>
        <item x="23"/>
        <item x="27"/>
        <item x="61"/>
        <item x="16"/>
        <item x="8"/>
        <item x="57"/>
        <item x="54"/>
        <item x="52"/>
        <item x="65"/>
        <item x="73"/>
        <item x="49"/>
        <item x="37"/>
        <item x="39"/>
        <item x="46"/>
        <item x="22"/>
        <item x="50"/>
        <item x="12"/>
        <item x="51"/>
        <item x="4"/>
        <item x="69"/>
        <item x="41"/>
        <item x="62"/>
        <item x="68"/>
        <item x="34"/>
        <item x="45"/>
        <item x="40"/>
        <item x="9"/>
        <item x="26"/>
        <item x="21"/>
        <item x="66"/>
        <item x="20"/>
        <item x="25"/>
        <item x="1"/>
        <item x="11"/>
        <item x="58"/>
        <item x="74"/>
        <item x="64"/>
        <item x="70"/>
        <item x="53"/>
        <item x="67"/>
        <item x="43"/>
        <item x="60"/>
        <item x="36"/>
        <item x="19"/>
        <item x="31"/>
        <item x="75"/>
        <item x="29"/>
        <item x="71"/>
        <item x="47"/>
        <item x="72"/>
        <item x="28"/>
        <item x="55"/>
        <item x="13"/>
        <item x="56"/>
        <item x="63"/>
        <item x="44"/>
        <item x="14"/>
        <item x="30"/>
        <item t="default"/>
      </items>
    </pivotField>
    <pivotField showAll="0"/>
    <pivotField showAll="0"/>
    <pivotField dataField="1" showAll="0"/>
    <pivotField showAll="0"/>
    <pivotField showAll="0"/>
    <pivotField showAll="0"/>
    <pivotField showAll="0"/>
    <pivotField showAll="0"/>
  </pivotFields>
  <rowFields count="1">
    <field x="10"/>
  </rowFields>
  <rowItems count="29">
    <i>
      <x v="1"/>
    </i>
    <i>
      <x v="2"/>
    </i>
    <i>
      <x v="4"/>
    </i>
    <i>
      <x v="5"/>
    </i>
    <i>
      <x v="7"/>
    </i>
    <i>
      <x v="8"/>
    </i>
    <i>
      <x v="9"/>
    </i>
    <i>
      <x v="10"/>
    </i>
    <i>
      <x v="11"/>
    </i>
    <i>
      <x v="12"/>
    </i>
    <i>
      <x v="14"/>
    </i>
    <i>
      <x v="15"/>
    </i>
    <i>
      <x v="17"/>
    </i>
    <i>
      <x v="18"/>
    </i>
    <i>
      <x v="23"/>
    </i>
    <i>
      <x v="24"/>
    </i>
    <i>
      <x v="28"/>
    </i>
    <i>
      <x v="29"/>
    </i>
    <i>
      <x v="32"/>
    </i>
    <i>
      <x v="34"/>
    </i>
    <i>
      <x v="36"/>
    </i>
    <i>
      <x v="39"/>
    </i>
    <i>
      <x v="43"/>
    </i>
    <i>
      <x v="44"/>
    </i>
    <i>
      <x v="48"/>
    </i>
    <i>
      <x v="49"/>
    </i>
    <i>
      <x v="50"/>
    </i>
    <i>
      <x v="75"/>
    </i>
    <i t="grand">
      <x/>
    </i>
  </rowItems>
  <colItems count="1">
    <i/>
  </colItems>
  <dataFields count="1">
    <dataField name="Sum of Productivity_Score" fld="13" baseField="0" baseItem="0"/>
  </dataFields>
  <pivotTableStyleInfo name="PivotStyleLight16" showRowHeaders="1" showColHeaders="1" showRowStripes="0" showColStripes="0" showLastColumn="1"/>
  <filters count="1">
    <filter fld="10" type="valueGreaterThanOrEqual" evalOrder="-1" id="1" iMeasureFld="0">
      <autoFilter ref="A1">
        <filterColumn colId="0">
          <customFilters>
            <customFilter operator="greaterThanOrEqual" val="2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68971A-2A57-42A3-92A5-ABC8D8BA99B9}" name="PivotTable24" cacheId="2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fession">
  <location ref="H91:I113" firstHeaderRow="1" firstDataRow="1" firstDataCol="1"/>
  <pivotFields count="19">
    <pivotField showAll="0"/>
    <pivotField showAll="0"/>
    <pivotField showAll="0"/>
    <pivotField showAll="0"/>
    <pivotField showAll="0"/>
    <pivotField showAll="0"/>
    <pivotField axis="axisRow" showAll="0" measureFilter="1">
      <items count="128">
        <item x="123"/>
        <item x="42"/>
        <item x="66"/>
        <item x="90"/>
        <item x="73"/>
        <item x="63"/>
        <item x="17"/>
        <item x="124"/>
        <item x="88"/>
        <item x="121"/>
        <item x="86"/>
        <item x="31"/>
        <item x="49"/>
        <item x="107"/>
        <item x="40"/>
        <item x="4"/>
        <item x="94"/>
        <item x="84"/>
        <item x="97"/>
        <item x="43"/>
        <item x="21"/>
        <item x="0"/>
        <item x="5"/>
        <item x="38"/>
        <item x="76"/>
        <item x="2"/>
        <item x="78"/>
        <item x="72"/>
        <item x="37"/>
        <item x="103"/>
        <item x="56"/>
        <item x="32"/>
        <item x="28"/>
        <item x="75"/>
        <item x="65"/>
        <item x="114"/>
        <item x="52"/>
        <item x="115"/>
        <item x="91"/>
        <item x="1"/>
        <item x="68"/>
        <item x="14"/>
        <item x="106"/>
        <item x="26"/>
        <item x="48"/>
        <item x="47"/>
        <item x="67"/>
        <item x="96"/>
        <item x="126"/>
        <item x="105"/>
        <item x="39"/>
        <item x="69"/>
        <item x="120"/>
        <item x="3"/>
        <item x="19"/>
        <item x="93"/>
        <item x="50"/>
        <item x="110"/>
        <item x="108"/>
        <item x="70"/>
        <item x="89"/>
        <item x="41"/>
        <item x="8"/>
        <item x="36"/>
        <item x="6"/>
        <item x="100"/>
        <item x="98"/>
        <item x="99"/>
        <item x="57"/>
        <item x="27"/>
        <item x="23"/>
        <item x="15"/>
        <item x="45"/>
        <item x="64"/>
        <item x="74"/>
        <item x="87"/>
        <item x="59"/>
        <item x="119"/>
        <item x="24"/>
        <item x="58"/>
        <item x="79"/>
        <item x="80"/>
        <item x="18"/>
        <item x="112"/>
        <item x="60"/>
        <item x="71"/>
        <item x="35"/>
        <item x="62"/>
        <item x="11"/>
        <item x="51"/>
        <item x="125"/>
        <item x="20"/>
        <item x="82"/>
        <item x="85"/>
        <item x="117"/>
        <item x="109"/>
        <item x="95"/>
        <item x="10"/>
        <item x="22"/>
        <item x="122"/>
        <item x="102"/>
        <item x="30"/>
        <item x="16"/>
        <item x="34"/>
        <item x="53"/>
        <item x="55"/>
        <item x="54"/>
        <item x="77"/>
        <item x="81"/>
        <item x="46"/>
        <item x="25"/>
        <item x="44"/>
        <item x="101"/>
        <item x="29"/>
        <item x="7"/>
        <item x="33"/>
        <item x="12"/>
        <item x="104"/>
        <item x="61"/>
        <item x="13"/>
        <item x="118"/>
        <item x="116"/>
        <item x="92"/>
        <item x="111"/>
        <item x="83"/>
        <item x="113"/>
        <item x="9"/>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6"/>
  </rowFields>
  <rowItems count="22">
    <i>
      <x v="1"/>
    </i>
    <i>
      <x v="15"/>
    </i>
    <i>
      <x v="16"/>
    </i>
    <i>
      <x v="20"/>
    </i>
    <i>
      <x v="25"/>
    </i>
    <i>
      <x v="31"/>
    </i>
    <i>
      <x v="32"/>
    </i>
    <i>
      <x v="33"/>
    </i>
    <i>
      <x v="39"/>
    </i>
    <i>
      <x v="41"/>
    </i>
    <i>
      <x v="46"/>
    </i>
    <i>
      <x v="59"/>
    </i>
    <i>
      <x v="71"/>
    </i>
    <i>
      <x v="72"/>
    </i>
    <i>
      <x v="78"/>
    </i>
    <i>
      <x v="79"/>
    </i>
    <i>
      <x v="88"/>
    </i>
    <i>
      <x v="110"/>
    </i>
    <i>
      <x v="116"/>
    </i>
    <i>
      <x v="119"/>
    </i>
    <i>
      <x v="126"/>
    </i>
    <i t="grand">
      <x/>
    </i>
  </rowItems>
  <colItems count="1">
    <i/>
  </colItems>
  <dataFields count="1">
    <dataField name="Sum of Productivity_Score" fld="13"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valueGreaterThanOrEqual" evalOrder="-1" id="2" iMeasureFld="0">
      <autoFilter ref="A1">
        <filterColumn colId="0">
          <customFilters>
            <customFilter operator="greaterThanOrEqual" val="15"/>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5DE8182-2C4A-4637-86A2-AC8127673EE8}" name="PivotTable23" cacheId="2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I tools">
  <location ref="E91:F101" firstHeaderRow="1" firstDataRow="1" firstDataCol="1"/>
  <pivotFields count="19">
    <pivotField showAll="0"/>
    <pivotField showAll="0"/>
    <pivotField showAll="0"/>
    <pivotField showAll="0"/>
    <pivotField showAll="0"/>
    <pivotField showAll="0"/>
    <pivotField showAll="0"/>
    <pivotField showAll="0"/>
    <pivotField axis="axisRow" showAll="0">
      <items count="13">
        <item x="0"/>
        <item m="1" x="11"/>
        <item x="3"/>
        <item x="6"/>
        <item x="7"/>
        <item x="4"/>
        <item m="1" x="9"/>
        <item x="5"/>
        <item x="1"/>
        <item m="1" x="10"/>
        <item x="2"/>
        <item x="8"/>
        <item t="default"/>
      </items>
    </pivotField>
    <pivotField showAll="0"/>
    <pivotField showAll="0"/>
    <pivotField showAll="0"/>
    <pivotField showAll="0"/>
    <pivotField dataField="1" showAll="0"/>
    <pivotField showAll="0"/>
    <pivotField showAll="0"/>
    <pivotField showAll="0"/>
    <pivotField showAll="0"/>
    <pivotField showAll="0"/>
  </pivotFields>
  <rowFields count="1">
    <field x="8"/>
  </rowFields>
  <rowItems count="10">
    <i>
      <x/>
    </i>
    <i>
      <x v="2"/>
    </i>
    <i>
      <x v="3"/>
    </i>
    <i>
      <x v="4"/>
    </i>
    <i>
      <x v="5"/>
    </i>
    <i>
      <x v="7"/>
    </i>
    <i>
      <x v="8"/>
    </i>
    <i>
      <x v="10"/>
    </i>
    <i>
      <x v="11"/>
    </i>
    <i t="grand">
      <x/>
    </i>
  </rowItems>
  <colItems count="1">
    <i/>
  </colItems>
  <dataFields count="1">
    <dataField name="Average of Productivity_Score" fld="13" subtotal="average" baseField="8" baseItem="0" numFmtId="2"/>
  </dataFields>
  <formats count="1">
    <format dxfId="14">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E734BF2-2631-4721-A657-97DAA6764B5F}" name="PivotTable22" cacheId="2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User Type">
  <location ref="B91:C94" firstHeaderRow="1" firstDataRow="1" firstDataCol="1"/>
  <pivotFields count="19">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4"/>
  </rowFields>
  <rowItems count="3">
    <i>
      <x/>
    </i>
    <i>
      <x v="1"/>
    </i>
    <i t="grand">
      <x/>
    </i>
  </rowItems>
  <colItems count="1">
    <i/>
  </colItems>
  <dataFields count="1">
    <dataField name="Average of Productivity_Score" fld="13" subtotal="average" baseField="4" baseItem="0" numFmtId="2"/>
  </dataFields>
  <formats count="1">
    <format dxfId="13">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AB21D53-9543-4666-8DC0-0090C2F2A9E5}" name="PivotTable20" cacheId="2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st Common Use">
  <location ref="M42:N47" firstHeaderRow="1" firstDataRow="1" firstDataCol="1"/>
  <pivotFields count="19">
    <pivotField showAll="0"/>
    <pivotField showAll="0"/>
    <pivotField showAll="0"/>
    <pivotField showAll="0"/>
    <pivotField showAll="0"/>
    <pivotField showAll="0"/>
    <pivotField showAll="0"/>
    <pivotField showAll="0"/>
    <pivotField showAll="0"/>
    <pivotField axis="axisRow" showAll="0" measureFilter="1">
      <items count="10">
        <item x="2"/>
        <item x="5"/>
        <item x="1"/>
        <item x="4"/>
        <item x="0"/>
        <item x="7"/>
        <item x="8"/>
        <item x="6"/>
        <item x="3"/>
        <item t="default"/>
      </items>
    </pivotField>
    <pivotField dataField="1" showAll="0"/>
    <pivotField showAll="0"/>
    <pivotField showAll="0"/>
    <pivotField showAll="0"/>
    <pivotField showAll="0"/>
    <pivotField showAll="0"/>
    <pivotField showAll="0"/>
    <pivotField showAll="0"/>
    <pivotField showAll="0"/>
  </pivotFields>
  <rowFields count="1">
    <field x="9"/>
  </rowFields>
  <rowItems count="5">
    <i>
      <x/>
    </i>
    <i>
      <x v="5"/>
    </i>
    <i>
      <x v="6"/>
    </i>
    <i>
      <x v="7"/>
    </i>
    <i t="grand">
      <x/>
    </i>
  </rowItems>
  <colItems count="1">
    <i/>
  </colItems>
  <dataFields count="1">
    <dataField name="AI_Usage_Hrs/Dy" fld="10" baseField="9" baseItem="0"/>
  </dataFields>
  <chartFormats count="6">
    <chartFormat chart="1"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9" count="1" selected="0">
            <x v="0"/>
          </reference>
        </references>
      </pivotArea>
    </chartFormat>
    <chartFormat chart="6" format="8">
      <pivotArea type="data" outline="0" fieldPosition="0">
        <references count="2">
          <reference field="4294967294" count="1" selected="0">
            <x v="0"/>
          </reference>
          <reference field="9" count="1" selected="0">
            <x v="5"/>
          </reference>
        </references>
      </pivotArea>
    </chartFormat>
    <chartFormat chart="6" format="9">
      <pivotArea type="data" outline="0" fieldPosition="0">
        <references count="2">
          <reference field="4294967294" count="1" selected="0">
            <x v="0"/>
          </reference>
          <reference field="9" count="1" selected="0">
            <x v="6"/>
          </reference>
        </references>
      </pivotArea>
    </chartFormat>
    <chartFormat chart="6" format="10">
      <pivotArea type="data" outline="0" fieldPosition="0">
        <references count="2">
          <reference field="4294967294" count="1" selected="0">
            <x v="0"/>
          </reference>
          <reference field="9" count="1" selected="0">
            <x v="7"/>
          </reference>
        </references>
      </pivotArea>
    </chartFormat>
  </chartFormats>
  <pivotTableStyleInfo name="PivotStyleLight16" showRowHeaders="1" showColHeaders="1" showRowStripes="0" showColStripes="0" showLastColumn="1"/>
  <filters count="1">
    <filter fld="9" type="valueGreaterThanOrEqual" evalOrder="-1" id="2" iMeasureFld="0">
      <autoFilter ref="A1">
        <filterColumn colId="0">
          <customFilters>
            <customFilter operator="greaterThanOrEqual" val="1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BCCEEB9-D47A-4F06-9DD8-116D3B93ECF8}" name="PivotTable19" cacheId="2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ountries">
  <location ref="J42:K56" firstHeaderRow="1" firstDataRow="1" firstDataCol="1"/>
  <pivotFields count="19">
    <pivotField showAll="0"/>
    <pivotField showAll="0"/>
    <pivotField showAll="0"/>
    <pivotField axis="axisRow" showAll="0">
      <items count="19">
        <item m="1" x="15"/>
        <item m="1" x="14"/>
        <item m="1" x="16"/>
        <item x="8"/>
        <item x="3"/>
        <item x="2"/>
        <item x="4"/>
        <item x="11"/>
        <item x="6"/>
        <item x="9"/>
        <item x="10"/>
        <item x="7"/>
        <item x="5"/>
        <item m="1" x="17"/>
        <item x="0"/>
        <item x="1"/>
        <item m="1" x="13"/>
        <item x="1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3"/>
  </rowFields>
  <rowItems count="14">
    <i>
      <x v="3"/>
    </i>
    <i>
      <x v="4"/>
    </i>
    <i>
      <x v="5"/>
    </i>
    <i>
      <x v="6"/>
    </i>
    <i>
      <x v="7"/>
    </i>
    <i>
      <x v="8"/>
    </i>
    <i>
      <x v="9"/>
    </i>
    <i>
      <x v="10"/>
    </i>
    <i>
      <x v="11"/>
    </i>
    <i>
      <x v="12"/>
    </i>
    <i>
      <x v="14"/>
    </i>
    <i>
      <x v="15"/>
    </i>
    <i>
      <x v="17"/>
    </i>
    <i t="grand">
      <x/>
    </i>
  </rowItems>
  <colItems count="1">
    <i/>
  </colItems>
  <dataFields count="1">
    <dataField name=" AI_Usage_Hrs/Dy" fld="10" baseField="3" baseItem="3"/>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7CC0AFA-A315-4348-9455-728A0783AE99}" name="PivotTable18" cacheId="2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fession">
  <location ref="G42:H63" firstHeaderRow="1" firstDataRow="1" firstDataCol="1"/>
  <pivotFields count="19">
    <pivotField showAll="0"/>
    <pivotField showAll="0"/>
    <pivotField showAll="0"/>
    <pivotField showAll="0"/>
    <pivotField showAll="0"/>
    <pivotField showAll="0"/>
    <pivotField axis="axisRow" showAll="0" measureFilter="1">
      <items count="128">
        <item x="123"/>
        <item x="42"/>
        <item x="66"/>
        <item x="90"/>
        <item x="73"/>
        <item x="63"/>
        <item x="17"/>
        <item x="124"/>
        <item x="88"/>
        <item x="121"/>
        <item x="86"/>
        <item x="31"/>
        <item x="49"/>
        <item x="107"/>
        <item x="40"/>
        <item x="4"/>
        <item x="94"/>
        <item x="84"/>
        <item x="97"/>
        <item x="43"/>
        <item x="21"/>
        <item x="0"/>
        <item x="5"/>
        <item x="38"/>
        <item x="76"/>
        <item x="2"/>
        <item x="78"/>
        <item x="72"/>
        <item x="37"/>
        <item x="103"/>
        <item x="56"/>
        <item x="32"/>
        <item x="28"/>
        <item x="75"/>
        <item x="65"/>
        <item x="114"/>
        <item x="52"/>
        <item x="115"/>
        <item x="91"/>
        <item x="1"/>
        <item x="68"/>
        <item x="14"/>
        <item x="106"/>
        <item x="26"/>
        <item x="48"/>
        <item x="47"/>
        <item x="67"/>
        <item x="96"/>
        <item x="126"/>
        <item x="105"/>
        <item x="39"/>
        <item x="69"/>
        <item x="120"/>
        <item x="3"/>
        <item x="19"/>
        <item x="93"/>
        <item x="50"/>
        <item x="110"/>
        <item x="108"/>
        <item x="70"/>
        <item x="89"/>
        <item x="41"/>
        <item x="8"/>
        <item x="36"/>
        <item x="6"/>
        <item x="100"/>
        <item x="98"/>
        <item x="99"/>
        <item x="57"/>
        <item x="27"/>
        <item x="23"/>
        <item x="15"/>
        <item x="45"/>
        <item x="64"/>
        <item x="74"/>
        <item x="87"/>
        <item x="59"/>
        <item x="119"/>
        <item x="24"/>
        <item x="58"/>
        <item x="79"/>
        <item x="80"/>
        <item x="18"/>
        <item x="112"/>
        <item x="60"/>
        <item x="71"/>
        <item x="35"/>
        <item x="62"/>
        <item x="11"/>
        <item x="51"/>
        <item x="125"/>
        <item x="20"/>
        <item x="82"/>
        <item x="85"/>
        <item x="117"/>
        <item x="109"/>
        <item x="95"/>
        <item x="10"/>
        <item x="22"/>
        <item x="122"/>
        <item x="102"/>
        <item x="30"/>
        <item x="16"/>
        <item x="34"/>
        <item x="53"/>
        <item x="55"/>
        <item x="54"/>
        <item x="77"/>
        <item x="81"/>
        <item x="46"/>
        <item x="25"/>
        <item x="44"/>
        <item x="101"/>
        <item x="29"/>
        <item x="7"/>
        <item x="33"/>
        <item x="12"/>
        <item x="104"/>
        <item x="61"/>
        <item x="13"/>
        <item x="118"/>
        <item x="116"/>
        <item x="92"/>
        <item x="111"/>
        <item x="83"/>
        <item x="113"/>
        <item x="9"/>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6"/>
  </rowFields>
  <rowItems count="21">
    <i>
      <x v="1"/>
    </i>
    <i>
      <x v="5"/>
    </i>
    <i>
      <x v="15"/>
    </i>
    <i>
      <x v="20"/>
    </i>
    <i>
      <x v="25"/>
    </i>
    <i>
      <x v="31"/>
    </i>
    <i>
      <x v="32"/>
    </i>
    <i>
      <x v="33"/>
    </i>
    <i>
      <x v="39"/>
    </i>
    <i>
      <x v="41"/>
    </i>
    <i>
      <x v="46"/>
    </i>
    <i>
      <x v="63"/>
    </i>
    <i>
      <x v="70"/>
    </i>
    <i>
      <x v="71"/>
    </i>
    <i>
      <x v="72"/>
    </i>
    <i>
      <x v="88"/>
    </i>
    <i>
      <x v="102"/>
    </i>
    <i>
      <x v="116"/>
    </i>
    <i>
      <x v="119"/>
    </i>
    <i>
      <x v="126"/>
    </i>
    <i t="grand">
      <x/>
    </i>
  </rowItems>
  <colItems count="1">
    <i/>
  </colItems>
  <dataFields count="1">
    <dataField name="Sum of AI_Usage_Hours_Per_Day" fld="10"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valueGreaterThanOrEqual" evalOrder="-1" id="1" iMeasureFld="0">
      <autoFilter ref="A1">
        <filterColumn colId="0">
          <customFilters>
            <customFilter operator="greaterThanOrEqual" val="1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2CAAA93-EE78-4279-813E-A9A597D1A742}" name="PivotTable17" cacheId="2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User Type">
  <location ref="D42:E45" firstHeaderRow="1" firstDataRow="1" firstDataCol="1"/>
  <pivotFields count="19">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Sum of AI_Usage_Hours_Per_Day" fld="10"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AD4C5A3-7A9F-4223-8868-FFDE7A079744}" name="PivotTable16" cacheId="2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AI tool">
  <location ref="A42:B52" firstHeaderRow="1" firstDataRow="1" firstDataCol="1"/>
  <pivotFields count="19">
    <pivotField dataField="1" showAll="0"/>
    <pivotField showAll="0"/>
    <pivotField showAll="0"/>
    <pivotField showAll="0"/>
    <pivotField showAll="0"/>
    <pivotField showAll="0"/>
    <pivotField showAll="0"/>
    <pivotField showAll="0"/>
    <pivotField axis="axisRow" showAll="0">
      <items count="13">
        <item x="0"/>
        <item m="1" x="11"/>
        <item x="3"/>
        <item x="6"/>
        <item x="7"/>
        <item x="4"/>
        <item m="1" x="9"/>
        <item x="5"/>
        <item x="1"/>
        <item m="1" x="10"/>
        <item x="2"/>
        <item x="8"/>
        <item t="default"/>
      </items>
    </pivotField>
    <pivotField showAll="0"/>
    <pivotField showAll="0"/>
    <pivotField showAll="0"/>
    <pivotField showAll="0"/>
    <pivotField showAll="0"/>
    <pivotField showAll="0"/>
    <pivotField showAll="0"/>
    <pivotField showAll="0"/>
    <pivotField showAll="0"/>
    <pivotField showAll="0"/>
  </pivotFields>
  <rowFields count="1">
    <field x="8"/>
  </rowFields>
  <rowItems count="10">
    <i>
      <x/>
    </i>
    <i>
      <x v="2"/>
    </i>
    <i>
      <x v="3"/>
    </i>
    <i>
      <x v="4"/>
    </i>
    <i>
      <x v="5"/>
    </i>
    <i>
      <x v="7"/>
    </i>
    <i>
      <x v="8"/>
    </i>
    <i>
      <x v="10"/>
    </i>
    <i>
      <x v="11"/>
    </i>
    <i t="grand">
      <x/>
    </i>
  </rowItems>
  <colItems count="1">
    <i/>
  </colItems>
  <dataFields count="1">
    <dataField name="Count of User_ID" fld="0" subtotal="count" baseField="0" baseItem="0"/>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C5E8FAB-B38C-45AD-9904-061EAD20649E}" name="PivotTable11" cacheId="2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st Common Ages">
  <location ref="Q3:R13" firstHeaderRow="1" firstDataRow="1" firstDataCol="1"/>
  <pivotFields count="19">
    <pivotField dataField="1" showAll="0"/>
    <pivotField axis="axisRow" showAll="0" measureFilter="1">
      <items count="44">
        <item x="5"/>
        <item x="1"/>
        <item x="17"/>
        <item x="3"/>
        <item x="20"/>
        <item x="9"/>
        <item x="8"/>
        <item x="11"/>
        <item x="13"/>
        <item x="28"/>
        <item x="22"/>
        <item x="34"/>
        <item x="10"/>
        <item x="14"/>
        <item x="0"/>
        <item x="24"/>
        <item x="4"/>
        <item x="23"/>
        <item x="21"/>
        <item x="2"/>
        <item x="7"/>
        <item x="26"/>
        <item x="42"/>
        <item x="27"/>
        <item x="6"/>
        <item x="33"/>
        <item x="19"/>
        <item x="16"/>
        <item x="18"/>
        <item x="38"/>
        <item x="25"/>
        <item x="39"/>
        <item x="36"/>
        <item x="40"/>
        <item x="30"/>
        <item x="37"/>
        <item x="31"/>
        <item x="35"/>
        <item x="12"/>
        <item x="32"/>
        <item x="41"/>
        <item x="29"/>
        <item x="1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0">
    <i>
      <x v="1"/>
    </i>
    <i>
      <x v="4"/>
    </i>
    <i>
      <x v="5"/>
    </i>
    <i>
      <x v="6"/>
    </i>
    <i>
      <x v="7"/>
    </i>
    <i>
      <x v="8"/>
    </i>
    <i>
      <x v="15"/>
    </i>
    <i>
      <x v="16"/>
    </i>
    <i>
      <x v="42"/>
    </i>
    <i t="grand">
      <x/>
    </i>
  </rowItems>
  <colItems count="1">
    <i/>
  </colItems>
  <dataFields count="1">
    <dataField name="Count of User_ID" fld="0" subtotal="count" baseField="0" baseItem="0"/>
  </dataFields>
  <pivotTableStyleInfo name="PivotStyleLight16" showRowHeaders="1" showColHeaders="1" showRowStripes="0" showColStripes="0" showLastColumn="1"/>
  <filters count="1">
    <filter fld="1" type="valueGreaterThanOrEqual" evalOrder="-1" id="1" iMeasureFld="0">
      <autoFilter ref="A1">
        <filterColumn colId="0">
          <customFilters>
            <customFilter operator="greaterThanOrEqual" val="1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EBD7036-A18D-4477-911F-929EA7652625}" name="PivotTable10" cacheId="2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User Type">
  <location ref="M3:N6" firstHeaderRow="1" firstDataRow="1" firstDataCol="1"/>
  <pivotFields count="19">
    <pivotField dataField="1"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Count of User_ID" fld="0" subtotal="count" baseField="0" baseItem="0"/>
  </dataFields>
  <chartFormats count="4">
    <chartFormat chart="1"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4" count="1" selected="0">
            <x v="0"/>
          </reference>
        </references>
      </pivotArea>
    </chartFormat>
    <chartFormat chart="6"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81D0201-A635-4D64-B6DE-63CFE209C641}" name="PivotTable9" cacheId="2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fession">
  <location ref="J3:K14" firstHeaderRow="1" firstDataRow="1" firstDataCol="1"/>
  <pivotFields count="19">
    <pivotField dataField="1" showAll="0"/>
    <pivotField showAll="0"/>
    <pivotField showAll="0"/>
    <pivotField showAll="0"/>
    <pivotField showAll="0"/>
    <pivotField showAll="0"/>
    <pivotField axis="axisRow" showAll="0" measureFilter="1">
      <items count="128">
        <item x="123"/>
        <item x="42"/>
        <item x="66"/>
        <item x="90"/>
        <item x="73"/>
        <item x="63"/>
        <item x="17"/>
        <item x="124"/>
        <item x="88"/>
        <item x="121"/>
        <item x="86"/>
        <item x="31"/>
        <item x="49"/>
        <item x="107"/>
        <item x="40"/>
        <item x="4"/>
        <item x="94"/>
        <item x="84"/>
        <item x="97"/>
        <item x="43"/>
        <item x="21"/>
        <item x="0"/>
        <item x="5"/>
        <item x="38"/>
        <item x="76"/>
        <item x="2"/>
        <item x="78"/>
        <item x="72"/>
        <item x="37"/>
        <item x="103"/>
        <item x="56"/>
        <item x="32"/>
        <item x="28"/>
        <item x="75"/>
        <item x="65"/>
        <item x="114"/>
        <item x="52"/>
        <item x="115"/>
        <item x="91"/>
        <item x="1"/>
        <item x="68"/>
        <item x="14"/>
        <item x="106"/>
        <item x="26"/>
        <item x="48"/>
        <item x="47"/>
        <item x="67"/>
        <item x="96"/>
        <item x="126"/>
        <item x="105"/>
        <item x="39"/>
        <item x="69"/>
        <item x="120"/>
        <item x="3"/>
        <item x="19"/>
        <item x="93"/>
        <item x="50"/>
        <item x="110"/>
        <item x="108"/>
        <item x="70"/>
        <item x="89"/>
        <item x="41"/>
        <item x="8"/>
        <item x="36"/>
        <item x="6"/>
        <item x="100"/>
        <item x="98"/>
        <item x="99"/>
        <item x="57"/>
        <item x="27"/>
        <item x="23"/>
        <item x="15"/>
        <item x="45"/>
        <item x="64"/>
        <item x="74"/>
        <item x="87"/>
        <item x="59"/>
        <item x="119"/>
        <item x="24"/>
        <item x="58"/>
        <item x="79"/>
        <item x="80"/>
        <item x="18"/>
        <item x="112"/>
        <item x="60"/>
        <item x="71"/>
        <item x="35"/>
        <item x="62"/>
        <item x="11"/>
        <item x="51"/>
        <item x="125"/>
        <item x="20"/>
        <item x="82"/>
        <item x="85"/>
        <item x="117"/>
        <item x="109"/>
        <item x="95"/>
        <item x="10"/>
        <item x="22"/>
        <item x="122"/>
        <item x="102"/>
        <item x="30"/>
        <item x="16"/>
        <item x="34"/>
        <item x="53"/>
        <item x="55"/>
        <item x="54"/>
        <item x="77"/>
        <item x="81"/>
        <item x="46"/>
        <item x="25"/>
        <item x="44"/>
        <item x="101"/>
        <item x="29"/>
        <item x="7"/>
        <item x="33"/>
        <item x="12"/>
        <item x="104"/>
        <item x="61"/>
        <item x="13"/>
        <item x="118"/>
        <item x="116"/>
        <item x="92"/>
        <item x="111"/>
        <item x="83"/>
        <item x="113"/>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v="15"/>
    </i>
    <i>
      <x v="20"/>
    </i>
    <i>
      <x v="25"/>
    </i>
    <i>
      <x v="32"/>
    </i>
    <i>
      <x v="46"/>
    </i>
    <i>
      <x v="71"/>
    </i>
    <i>
      <x v="88"/>
    </i>
    <i>
      <x v="116"/>
    </i>
    <i>
      <x v="119"/>
    </i>
    <i>
      <x v="126"/>
    </i>
    <i t="grand">
      <x/>
    </i>
  </rowItems>
  <colItems count="1">
    <i/>
  </colItems>
  <dataFields count="1">
    <dataField name="Count of User_ID" fld="0" subtotal="count" baseField="0" baseItem="0"/>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valueGreaterThan" evalOrder="-1" id="1" iMeasureFld="0">
      <autoFilter ref="A1">
        <filterColumn colId="0">
          <customFilters>
            <customFilter operator="greaterThan" val="5"/>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2139891-69CC-40DC-8E2B-043C58963245}" name="PivotTable8" cacheId="2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Education Level">
  <location ref="G3:H11" firstHeaderRow="1" firstDataRow="1" firstDataCol="1"/>
  <pivotFields count="19">
    <pivotField dataField="1" showAll="0"/>
    <pivotField showAll="0"/>
    <pivotField showAll="0"/>
    <pivotField showAll="0"/>
    <pivotField showAll="0"/>
    <pivotField axis="axisRow" showAll="0">
      <items count="19">
        <item m="1" x="8"/>
        <item m="1" x="10"/>
        <item x="1"/>
        <item m="1" x="9"/>
        <item x="5"/>
        <item x="4"/>
        <item m="1" x="11"/>
        <item m="1" x="13"/>
        <item m="1" x="17"/>
        <item x="0"/>
        <item m="1" x="15"/>
        <item m="1" x="14"/>
        <item m="1" x="12"/>
        <item m="1" x="16"/>
        <item x="3"/>
        <item x="2"/>
        <item m="1" x="7"/>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8">
    <i>
      <x v="2"/>
    </i>
    <i>
      <x v="4"/>
    </i>
    <i>
      <x v="5"/>
    </i>
    <i>
      <x v="9"/>
    </i>
    <i>
      <x v="14"/>
    </i>
    <i>
      <x v="15"/>
    </i>
    <i>
      <x v="17"/>
    </i>
    <i t="grand">
      <x/>
    </i>
  </rowItems>
  <colItems count="1">
    <i/>
  </colItems>
  <dataFields count="1">
    <dataField name="Count of User_ID" fld="0" subtotal="count" baseField="0" baseItem="0"/>
  </dataFields>
  <chartFormats count="2">
    <chartFormat chart="12"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AB0052B-F095-411C-B12E-18F07AF9CF18}" name="PivotTable5" cacheId="2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Gender">
  <location ref="A3:B7" firstHeaderRow="1" firstDataRow="1" firstDataCol="1"/>
  <pivotFields count="19">
    <pivotField dataField="1" showAll="0"/>
    <pivotField showAll="0"/>
    <pivotField axis="axisRow" showAll="0">
      <items count="6">
        <item x="2"/>
        <item x="1"/>
        <item x="0"/>
        <item h="1" x="4"/>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User_ID" fld="0" subtotal="count" baseField="0" baseItem="0"/>
  </dataFields>
  <chartFormats count="7">
    <chartFormat chart="3" format="0"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2" count="1" selected="0">
            <x v="0"/>
          </reference>
        </references>
      </pivotArea>
    </chartFormat>
    <chartFormat chart="8" format="9">
      <pivotArea type="data" outline="0" fieldPosition="0">
        <references count="2">
          <reference field="4294967294" count="1" selected="0">
            <x v="0"/>
          </reference>
          <reference field="2" count="1" selected="0">
            <x v="1"/>
          </reference>
        </references>
      </pivotArea>
    </chartFormat>
    <chartFormat chart="8" format="10">
      <pivotArea type="data" outline="0" fieldPosition="0">
        <references count="2">
          <reference field="4294967294" count="1" selected="0">
            <x v="0"/>
          </reference>
          <reference field="2" count="1" selected="0">
            <x v="2"/>
          </reference>
        </references>
      </pivotArea>
    </chartFormat>
    <chartFormat chart="8" format="11">
      <pivotArea type="data" outline="0" fieldPosition="0">
        <references count="2">
          <reference field="4294967294" count="1" selected="0">
            <x v="0"/>
          </reference>
          <reference field="2" count="1" selected="0">
            <x v="3"/>
          </reference>
        </references>
      </pivotArea>
    </chartFormat>
    <chartFormat chart="8"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AE36A5A-D46A-4C58-8025-BE2504E5B696}" sourceName="Gender">
  <pivotTables>
    <pivotTable tabId="2" name="PivotTable5"/>
  </pivotTables>
  <data>
    <tabular pivotCacheId="254801768">
      <items count="5">
        <i x="2" s="1"/>
        <i x="1" s="1"/>
        <i x="0" s="1"/>
        <i x="4"/>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77958D7-F457-444F-9495-B36A5004BFDC}" sourceName="Country">
  <pivotTables>
    <pivotTable tabId="2" name="PivotTable7"/>
  </pivotTables>
  <data>
    <tabular pivotCacheId="254801768">
      <items count="18">
        <i x="12" s="1"/>
        <i x="8" s="1"/>
        <i x="3" s="1"/>
        <i x="2" s="1"/>
        <i x="4" s="1"/>
        <i x="11" s="1"/>
        <i x="6" s="1"/>
        <i x="9" s="1"/>
        <i x="10" s="1"/>
        <i x="7" s="1"/>
        <i x="5" s="1"/>
        <i x="0" s="1"/>
        <i x="1" s="1"/>
        <i x="15" s="1" nd="1"/>
        <i x="14" s="1" nd="1"/>
        <i x="16" s="1" nd="1"/>
        <i x="17"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2" xr10:uid="{4CCC8C37-A7B2-4C53-91DC-E02E94522C89}" sourceName="Country">
  <pivotTables>
    <pivotTable tabId="2" name="PivotTable19"/>
  </pivotTables>
  <data>
    <tabular pivotCacheId="254801768">
      <items count="18">
        <i x="12" s="1"/>
        <i x="8" s="1"/>
        <i x="3" s="1"/>
        <i x="2" s="1"/>
        <i x="4" s="1"/>
        <i x="11" s="1"/>
        <i x="6" s="1"/>
        <i x="9" s="1"/>
        <i x="10" s="1"/>
        <i x="7" s="1"/>
        <i x="5" s="1"/>
        <i x="0" s="1"/>
        <i x="1" s="1"/>
        <i x="15" s="1" nd="1"/>
        <i x="14" s="1" nd="1"/>
        <i x="16" s="1" nd="1"/>
        <i x="17"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_Tool" xr10:uid="{64155564-0C35-4251-A3D7-1C99CBCE9366}" sourceName="AI_Tool">
  <pivotTables>
    <pivotTable tabId="2" name="PivotTable16"/>
  </pivotTables>
  <data>
    <tabular pivotCacheId="254801768">
      <items count="12">
        <i x="0" s="1"/>
        <i x="3" s="1"/>
        <i x="6" s="1"/>
        <i x="7" s="1"/>
        <i x="4" s="1"/>
        <i x="5" s="1"/>
        <i x="1" s="1"/>
        <i x="2" s="1"/>
        <i x="8" s="1"/>
        <i x="11" s="1" nd="1"/>
        <i x="9" s="1" nd="1"/>
        <i x="10"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_Tool1" xr10:uid="{8BFE3BFF-4587-4EA1-917D-8A3EF3250E7A}" sourceName="AI_Tool">
  <pivotTables>
    <pivotTable tabId="2" name="PivotTable28"/>
  </pivotTables>
  <data>
    <tabular pivotCacheId="254801768">
      <items count="12">
        <i x="0" s="1"/>
        <i x="3" s="1"/>
        <i x="6" s="1"/>
        <i x="7" s="1"/>
        <i x="4" s="1"/>
        <i x="5" s="1"/>
        <i x="1" s="1"/>
        <i x="2" s="1"/>
        <i x="8" s="1"/>
        <i x="11" s="1" nd="1"/>
        <i x="9" s="1" nd="1"/>
        <i x="10"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ession" xr10:uid="{CDD90B82-963C-4D65-9539-F767152BD456}" sourceName="Profession">
  <pivotTables>
    <pivotTable tabId="2" name="PivotTable29"/>
  </pivotTables>
  <data>
    <tabular pivotCacheId="254801768">
      <items count="127">
        <i x="123" s="1"/>
        <i x="42" s="1"/>
        <i x="66" s="1"/>
        <i x="90" s="1"/>
        <i x="73" s="1"/>
        <i x="63" s="1"/>
        <i x="17" s="1"/>
        <i x="124" s="1"/>
        <i x="121" s="1"/>
        <i x="86" s="1"/>
        <i x="31" s="1"/>
        <i x="49" s="1"/>
        <i x="107" s="1"/>
        <i x="40" s="1"/>
        <i x="4" s="1"/>
        <i x="94" s="1"/>
        <i x="84" s="1"/>
        <i x="97" s="1"/>
        <i x="43" s="1"/>
        <i x="21" s="1"/>
        <i x="0" s="1"/>
        <i x="5" s="1"/>
        <i x="38" s="1"/>
        <i x="76" s="1"/>
        <i x="2" s="1"/>
        <i x="78" s="1"/>
        <i x="72" s="1"/>
        <i x="37" s="1"/>
        <i x="103" s="1"/>
        <i x="56" s="1"/>
        <i x="32" s="1"/>
        <i x="28" s="1"/>
        <i x="75" s="1"/>
        <i x="65" s="1"/>
        <i x="52" s="1"/>
        <i x="115" s="1"/>
        <i x="91" s="1"/>
        <i x="1" s="1"/>
        <i x="68" s="1"/>
        <i x="14" s="1"/>
        <i x="106" s="1"/>
        <i x="26" s="1"/>
        <i x="48" s="1"/>
        <i x="47" s="1"/>
        <i x="67" s="1"/>
        <i x="96" s="1"/>
        <i x="126" s="1"/>
        <i x="105" s="1"/>
        <i x="39" s="1"/>
        <i x="69" s="1"/>
        <i x="120" s="1"/>
        <i x="3" s="1"/>
        <i x="19" s="1"/>
        <i x="93" s="1"/>
        <i x="50" s="1"/>
        <i x="110" s="1"/>
        <i x="108" s="1"/>
        <i x="70" s="1"/>
        <i x="89" s="1"/>
        <i x="41" s="1"/>
        <i x="8" s="1"/>
        <i x="36" s="1"/>
        <i x="6" s="1"/>
        <i x="100" s="1"/>
        <i x="98" s="1"/>
        <i x="99" s="1"/>
        <i x="57" s="1"/>
        <i x="27" s="1"/>
        <i x="23" s="1"/>
        <i x="15" s="1"/>
        <i x="45" s="1"/>
        <i x="64" s="1"/>
        <i x="74" s="1"/>
        <i x="87" s="1"/>
        <i x="59" s="1"/>
        <i x="119" s="1"/>
        <i x="24" s="1"/>
        <i x="58" s="1"/>
        <i x="79" s="1"/>
        <i x="80" s="1"/>
        <i x="18" s="1"/>
        <i x="112" s="1"/>
        <i x="60" s="1"/>
        <i x="71" s="1"/>
        <i x="35" s="1"/>
        <i x="62" s="1"/>
        <i x="11" s="1"/>
        <i x="51" s="1"/>
        <i x="125" s="1"/>
        <i x="20" s="1"/>
        <i x="82" s="1"/>
        <i x="85" s="1"/>
        <i x="117" s="1"/>
        <i x="109" s="1"/>
        <i x="95" s="1"/>
        <i x="10" s="1"/>
        <i x="22" s="1"/>
        <i x="122" s="1"/>
        <i x="30" s="1"/>
        <i x="16" s="1"/>
        <i x="34" s="1"/>
        <i x="53" s="1"/>
        <i x="55" s="1"/>
        <i x="54" s="1"/>
        <i x="77" s="1"/>
        <i x="81" s="1"/>
        <i x="46" s="1"/>
        <i x="25" s="1"/>
        <i x="44" s="1"/>
        <i x="101" s="1"/>
        <i x="29" s="1"/>
        <i x="7" s="1"/>
        <i x="33" s="1"/>
        <i x="12" s="1"/>
        <i x="104" s="1"/>
        <i x="61" s="1"/>
        <i x="13" s="1"/>
        <i x="118" s="1"/>
        <i x="116" s="1"/>
        <i x="92" s="1"/>
        <i x="111" s="1"/>
        <i x="83" s="1"/>
        <i x="113" s="1"/>
        <i x="9" s="1"/>
        <i x="88" s="1" nd="1"/>
        <i x="114" s="1" nd="1"/>
        <i x="10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43B52F5-6CEB-4E13-A7D0-3AE19110ED29}" cache="Slicer_Gender" caption="Gender" rowHeight="251883"/>
  <slicer name="Country" xr10:uid="{B093B52C-7D93-4DD5-A71D-38A8BB3BEB7E}" cache="Slicer_Country" caption="Country" startItem="3" rowHeight="251883"/>
  <slicer name="Country 3" xr10:uid="{5BC40C5E-42D6-4F4E-8D1B-B96A68F70DDF}" cache="Slicer_Country2" caption="Country" rowHeight="251883"/>
  <slicer name="AI_Tool" xr10:uid="{88A1F81E-CC99-408B-885A-DBDBBE379321}" cache="Slicer_AI_Tool" caption="AI_Tool"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I_Tool 2" xr10:uid="{A8BDA688-802E-40B8-9BC5-E45E9AC28860}" cache="Slicer_AI_Tool1" caption="AI_Tool" rowHeight="251883"/>
  <slicer name="Profession" xr10:uid="{98794A21-6AAE-4A0F-8B36-55C4366CBFB0}" cache="Slicer_Profession" caption="Profession"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4" xr10:uid="{F4F7D7CC-3BDB-4391-A1B3-1288873A043F}" cache="Slicer_Country2" caption="Country" rowHeight="251883"/>
  <slicer name="AI_Tool 1" xr10:uid="{5CFA5964-FC01-4B7D-AB37-843ED229AECE}" cache="Slicer_AI_Tool" caption="AI_Tool"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CFA628A7-53AF-4478-83C4-9590F91C7A4F}" cache="Slicer_Gender" caption="Gender" rowHeight="251883"/>
  <slicer name="Country 1" xr10:uid="{84F6E985-1A7C-4245-82A6-59B769B11B65}" cache="Slicer_Country" caption="Country" startItem="5"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2.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A0A57-E886-4858-84CE-C8A4962B2371}">
  <dimension ref="A1:AO289"/>
  <sheetViews>
    <sheetView tabSelected="1" topLeftCell="I1" workbookViewId="0">
      <selection activeCell="E3" sqref="E3"/>
    </sheetView>
  </sheetViews>
  <sheetFormatPr defaultRowHeight="14.5" x14ac:dyDescent="0.35"/>
  <cols>
    <col min="1" max="1" width="18" customWidth="1"/>
    <col min="2" max="2" width="17.26953125" customWidth="1"/>
    <col min="3" max="3" width="21.26953125" customWidth="1"/>
    <col min="4" max="4" width="23.08984375" customWidth="1"/>
    <col min="5" max="5" width="20" customWidth="1"/>
    <col min="6" max="6" width="17.36328125" customWidth="1"/>
    <col min="7" max="7" width="19.54296875" style="1" customWidth="1"/>
    <col min="8" max="8" width="19.90625" style="3" customWidth="1"/>
    <col min="9" max="9" width="17.36328125" customWidth="1"/>
    <col min="10" max="10" width="19.81640625" customWidth="1"/>
    <col min="11" max="11" width="26.54296875" customWidth="1"/>
    <col min="12" max="12" width="37.26953125" style="1" customWidth="1"/>
    <col min="13" max="13" width="24.36328125" style="2" customWidth="1"/>
    <col min="14" max="14" width="17.54296875" customWidth="1"/>
    <col min="15" max="15" width="17.1796875" customWidth="1"/>
    <col min="16" max="16" width="19.7265625" customWidth="1"/>
    <col min="17" max="17" width="25.54296875" customWidth="1"/>
    <col min="18" max="18" width="29.26953125" customWidth="1"/>
    <col min="19" max="19" width="21.453125" customWidth="1"/>
    <col min="21" max="21" width="10.08984375" customWidth="1"/>
    <col min="22" max="22" width="14.1796875" customWidth="1"/>
    <col min="23" max="23" width="24.08984375" customWidth="1"/>
    <col min="24" max="27" width="31.54296875" customWidth="1"/>
    <col min="28" max="28" width="25.81640625" customWidth="1"/>
    <col min="29" max="29" width="23.08984375" customWidth="1"/>
    <col min="30" max="30" width="20.1796875" customWidth="1"/>
    <col min="37" max="37" width="18.7265625" customWidth="1"/>
    <col min="38" max="38" width="23.26953125" customWidth="1"/>
    <col min="40" max="40" width="13.6328125" customWidth="1"/>
    <col min="41" max="41" width="23.1796875" customWidth="1"/>
  </cols>
  <sheetData>
    <row r="1" spans="1:41" s="6" customFormat="1" ht="16" x14ac:dyDescent="0.4">
      <c r="A1" s="6" t="s">
        <v>0</v>
      </c>
      <c r="B1" s="6" t="s">
        <v>1</v>
      </c>
      <c r="C1" s="6" t="s">
        <v>2</v>
      </c>
      <c r="D1" s="6" t="s">
        <v>3</v>
      </c>
      <c r="E1" s="6" t="s">
        <v>4</v>
      </c>
      <c r="F1" s="6" t="s">
        <v>5</v>
      </c>
      <c r="G1" s="7" t="s">
        <v>6</v>
      </c>
      <c r="H1" s="8" t="s">
        <v>7</v>
      </c>
      <c r="I1" s="6" t="s">
        <v>8</v>
      </c>
      <c r="J1" s="6" t="s">
        <v>9</v>
      </c>
      <c r="K1" s="6" t="s">
        <v>10</v>
      </c>
      <c r="L1" s="7" t="s">
        <v>11</v>
      </c>
      <c r="M1" s="9" t="s">
        <v>12</v>
      </c>
      <c r="N1" s="6" t="s">
        <v>13</v>
      </c>
      <c r="O1" s="6" t="s">
        <v>14</v>
      </c>
      <c r="P1" s="6" t="s">
        <v>15</v>
      </c>
      <c r="Q1" s="6" t="s">
        <v>16</v>
      </c>
      <c r="R1" s="6" t="s">
        <v>17</v>
      </c>
      <c r="S1" s="6" t="s">
        <v>18</v>
      </c>
      <c r="U1" s="6" t="s">
        <v>752</v>
      </c>
      <c r="V1" s="6" t="s">
        <v>753</v>
      </c>
      <c r="W1" s="6" t="s">
        <v>764</v>
      </c>
      <c r="X1" s="6" t="s">
        <v>769</v>
      </c>
      <c r="Y1" s="6" t="s">
        <v>772</v>
      </c>
      <c r="Z1" s="6" t="s">
        <v>773</v>
      </c>
      <c r="AA1" s="6" t="s">
        <v>784</v>
      </c>
      <c r="AC1" s="12" t="s">
        <v>759</v>
      </c>
      <c r="AD1" s="12" t="s">
        <v>755</v>
      </c>
      <c r="AK1" s="12" t="s">
        <v>775</v>
      </c>
      <c r="AL1" s="12" t="s">
        <v>770</v>
      </c>
      <c r="AN1" s="12" t="s">
        <v>783</v>
      </c>
      <c r="AO1" s="12" t="s">
        <v>781</v>
      </c>
    </row>
    <row r="2" spans="1:41" ht="58" x14ac:dyDescent="0.35">
      <c r="A2" t="s">
        <v>19</v>
      </c>
      <c r="B2">
        <v>30</v>
      </c>
      <c r="C2" t="s">
        <v>20</v>
      </c>
      <c r="D2" t="s">
        <v>21</v>
      </c>
      <c r="E2" t="s">
        <v>22</v>
      </c>
      <c r="F2" t="s">
        <v>23</v>
      </c>
      <c r="G2" s="1" t="s">
        <v>24</v>
      </c>
      <c r="H2" s="3">
        <v>5421</v>
      </c>
      <c r="I2" t="s">
        <v>38</v>
      </c>
      <c r="J2" t="s">
        <v>25</v>
      </c>
      <c r="K2">
        <v>2</v>
      </c>
      <c r="L2" s="1" t="s">
        <v>26</v>
      </c>
      <c r="N2">
        <v>5.3</v>
      </c>
      <c r="O2">
        <v>4</v>
      </c>
      <c r="P2">
        <v>7</v>
      </c>
      <c r="Q2">
        <v>3.9</v>
      </c>
      <c r="R2">
        <v>7.3</v>
      </c>
      <c r="S2" t="s">
        <v>27</v>
      </c>
      <c r="U2">
        <f>COUNTA(A2:A289)</f>
        <v>288</v>
      </c>
      <c r="V2" s="10">
        <f>AVERAGE(B2:B100)</f>
        <v>29.304347826086957</v>
      </c>
      <c r="W2" s="10">
        <f>AVERAGE(K2:K289)</f>
        <v>2.9416370106761551</v>
      </c>
      <c r="X2" s="10">
        <f>AVERAGE(N2:N289)</f>
        <v>5.2350364963503644</v>
      </c>
      <c r="Y2" s="10">
        <f>AVERAGE(O2:O289)</f>
        <v>3.4160583941605838</v>
      </c>
      <c r="Z2" s="10">
        <f>AVERAGE(P2:P289)</f>
        <v>6.1316725978647684</v>
      </c>
      <c r="AA2" s="10">
        <f>AVERAGE(Q2:Q289)</f>
        <v>5.8100719424460445</v>
      </c>
      <c r="AC2" s="5">
        <v>17</v>
      </c>
      <c r="AD2" s="11">
        <v>12</v>
      </c>
      <c r="AK2" s="5">
        <v>0.6</v>
      </c>
      <c r="AL2" s="11">
        <v>39.1</v>
      </c>
      <c r="AN2" s="5">
        <v>0.5</v>
      </c>
      <c r="AO2" s="11">
        <v>1.8199999999999998</v>
      </c>
    </row>
    <row r="3" spans="1:41" ht="87" x14ac:dyDescent="0.35">
      <c r="A3" t="s">
        <v>28</v>
      </c>
      <c r="B3">
        <v>30</v>
      </c>
      <c r="C3" t="s">
        <v>20</v>
      </c>
      <c r="D3" t="s">
        <v>29</v>
      </c>
      <c r="E3" t="s">
        <v>22</v>
      </c>
      <c r="F3" t="s">
        <v>30</v>
      </c>
      <c r="G3" s="1" t="s">
        <v>31</v>
      </c>
      <c r="H3" s="3">
        <v>8903</v>
      </c>
      <c r="I3" t="s">
        <v>38</v>
      </c>
      <c r="J3" t="s">
        <v>32</v>
      </c>
      <c r="K3">
        <v>5.7</v>
      </c>
      <c r="L3" s="1" t="s">
        <v>33</v>
      </c>
      <c r="M3" s="2">
        <v>0</v>
      </c>
      <c r="N3">
        <v>9.9</v>
      </c>
      <c r="O3">
        <v>3</v>
      </c>
      <c r="P3">
        <v>9</v>
      </c>
      <c r="Q3">
        <v>11.4</v>
      </c>
      <c r="R3">
        <v>8.4</v>
      </c>
      <c r="S3" t="s">
        <v>27</v>
      </c>
      <c r="AC3" s="5">
        <v>20</v>
      </c>
      <c r="AD3" s="11">
        <v>14</v>
      </c>
      <c r="AK3" s="5">
        <v>0.7</v>
      </c>
      <c r="AL3" s="11">
        <v>48.199999999999996</v>
      </c>
      <c r="AN3" s="5">
        <v>0.6</v>
      </c>
      <c r="AO3" s="10">
        <v>1.99166666666667</v>
      </c>
    </row>
    <row r="4" spans="1:41" ht="29" x14ac:dyDescent="0.35">
      <c r="A4" t="s">
        <v>34</v>
      </c>
      <c r="B4">
        <v>17</v>
      </c>
      <c r="C4" t="s">
        <v>48</v>
      </c>
      <c r="D4" t="s">
        <v>35</v>
      </c>
      <c r="E4" t="s">
        <v>36</v>
      </c>
      <c r="G4" s="1" t="s">
        <v>37</v>
      </c>
      <c r="H4" s="3">
        <v>402</v>
      </c>
      <c r="I4" t="s">
        <v>38</v>
      </c>
      <c r="J4" t="s">
        <v>39</v>
      </c>
      <c r="K4">
        <v>1</v>
      </c>
      <c r="M4" s="2">
        <v>20</v>
      </c>
      <c r="N4">
        <v>3.2</v>
      </c>
      <c r="O4">
        <v>2</v>
      </c>
      <c r="P4">
        <v>4</v>
      </c>
      <c r="Q4">
        <v>5.2</v>
      </c>
      <c r="R4">
        <v>6.7</v>
      </c>
      <c r="S4" t="s">
        <v>40</v>
      </c>
      <c r="AC4" s="5">
        <v>21</v>
      </c>
      <c r="AD4" s="11">
        <v>11</v>
      </c>
      <c r="AK4" s="5">
        <v>0.9</v>
      </c>
      <c r="AL4" s="11">
        <v>31.399999999999991</v>
      </c>
      <c r="AN4" s="5">
        <v>0.7</v>
      </c>
      <c r="AO4" s="11">
        <v>2.375</v>
      </c>
    </row>
    <row r="5" spans="1:41" ht="72.5" x14ac:dyDescent="0.35">
      <c r="A5" t="s">
        <v>41</v>
      </c>
      <c r="B5">
        <v>35</v>
      </c>
      <c r="C5" t="s">
        <v>48</v>
      </c>
      <c r="D5" t="s">
        <v>42</v>
      </c>
      <c r="E5" t="s">
        <v>22</v>
      </c>
      <c r="F5" t="s">
        <v>30</v>
      </c>
      <c r="G5" s="1" t="s">
        <v>43</v>
      </c>
      <c r="H5" s="3">
        <v>1367</v>
      </c>
      <c r="I5" t="s">
        <v>44</v>
      </c>
      <c r="J5" t="s">
        <v>39</v>
      </c>
      <c r="K5">
        <v>1.7</v>
      </c>
      <c r="L5" s="1" t="s">
        <v>45</v>
      </c>
      <c r="M5" s="2">
        <v>20</v>
      </c>
      <c r="N5">
        <v>5.6</v>
      </c>
      <c r="O5">
        <v>4</v>
      </c>
      <c r="P5">
        <v>5</v>
      </c>
      <c r="Q5">
        <v>6.4</v>
      </c>
      <c r="R5">
        <v>9.6</v>
      </c>
      <c r="S5" t="s">
        <v>46</v>
      </c>
      <c r="AC5" s="5">
        <v>22</v>
      </c>
      <c r="AD5" s="11">
        <v>23</v>
      </c>
      <c r="AK5" s="5">
        <v>1</v>
      </c>
      <c r="AL5" s="11">
        <v>22.400000000000002</v>
      </c>
      <c r="AN5" s="5">
        <v>0.8</v>
      </c>
      <c r="AO5" s="11">
        <v>1.7</v>
      </c>
    </row>
    <row r="6" spans="1:41" ht="58" x14ac:dyDescent="0.35">
      <c r="A6" t="s">
        <v>47</v>
      </c>
      <c r="B6">
        <v>19</v>
      </c>
      <c r="C6" t="s">
        <v>748</v>
      </c>
      <c r="D6" t="s">
        <v>35</v>
      </c>
      <c r="E6" t="s">
        <v>36</v>
      </c>
      <c r="F6" t="s">
        <v>49</v>
      </c>
      <c r="G6" s="1" t="s">
        <v>50</v>
      </c>
      <c r="H6" s="3">
        <v>438</v>
      </c>
      <c r="I6" t="s">
        <v>51</v>
      </c>
      <c r="K6">
        <v>4.0999999999999996</v>
      </c>
      <c r="L6" s="1" t="s">
        <v>52</v>
      </c>
      <c r="M6" s="2">
        <v>0</v>
      </c>
      <c r="N6">
        <v>4.7</v>
      </c>
      <c r="O6">
        <v>4</v>
      </c>
      <c r="P6">
        <v>7</v>
      </c>
      <c r="Q6">
        <v>9.1999999999999993</v>
      </c>
      <c r="R6">
        <v>6.2</v>
      </c>
      <c r="S6" t="s">
        <v>27</v>
      </c>
      <c r="AC6" s="5">
        <v>23</v>
      </c>
      <c r="AD6" s="11">
        <v>28</v>
      </c>
      <c r="AK6" s="5">
        <v>1.2</v>
      </c>
      <c r="AL6" s="11">
        <v>36.9</v>
      </c>
      <c r="AN6" s="5">
        <v>0.9</v>
      </c>
      <c r="AO6" s="11">
        <v>1.375</v>
      </c>
    </row>
    <row r="7" spans="1:41" ht="58" x14ac:dyDescent="0.35">
      <c r="A7" t="s">
        <v>53</v>
      </c>
      <c r="B7">
        <v>19</v>
      </c>
      <c r="C7" t="s">
        <v>20</v>
      </c>
      <c r="D7" t="s">
        <v>29</v>
      </c>
      <c r="E7" t="s">
        <v>36</v>
      </c>
      <c r="F7" t="s">
        <v>49</v>
      </c>
      <c r="G7" s="1" t="s">
        <v>54</v>
      </c>
      <c r="H7" s="3">
        <v>774</v>
      </c>
      <c r="I7" t="s">
        <v>44</v>
      </c>
      <c r="J7" t="s">
        <v>55</v>
      </c>
      <c r="K7">
        <v>1.5</v>
      </c>
      <c r="L7" s="1" t="s">
        <v>56</v>
      </c>
      <c r="M7" s="2">
        <v>0</v>
      </c>
      <c r="N7">
        <v>5</v>
      </c>
      <c r="O7">
        <v>3</v>
      </c>
      <c r="P7">
        <v>6</v>
      </c>
      <c r="Q7">
        <v>2.9</v>
      </c>
      <c r="R7">
        <v>7.4</v>
      </c>
      <c r="S7" t="s">
        <v>40</v>
      </c>
      <c r="AC7" s="5">
        <v>24</v>
      </c>
      <c r="AD7" s="11">
        <v>10</v>
      </c>
      <c r="AK7" s="5">
        <v>1.3</v>
      </c>
      <c r="AL7" s="11">
        <v>34.1</v>
      </c>
      <c r="AN7" s="5">
        <v>1</v>
      </c>
      <c r="AO7" s="11">
        <v>2.5857142857142859</v>
      </c>
    </row>
    <row r="8" spans="1:41" ht="87" x14ac:dyDescent="0.35">
      <c r="A8" t="s">
        <v>57</v>
      </c>
      <c r="B8">
        <v>32</v>
      </c>
      <c r="C8" t="s">
        <v>20</v>
      </c>
      <c r="D8" t="s">
        <v>191</v>
      </c>
      <c r="E8" t="s">
        <v>22</v>
      </c>
      <c r="F8" t="s">
        <v>30</v>
      </c>
      <c r="G8" s="1" t="s">
        <v>58</v>
      </c>
      <c r="H8" s="3">
        <v>4466</v>
      </c>
      <c r="I8" t="s">
        <v>38</v>
      </c>
      <c r="J8" t="s">
        <v>39</v>
      </c>
      <c r="K8">
        <v>1.2</v>
      </c>
      <c r="L8" s="1" t="s">
        <v>59</v>
      </c>
      <c r="M8" s="2">
        <v>20</v>
      </c>
      <c r="N8">
        <v>3</v>
      </c>
      <c r="O8">
        <v>2</v>
      </c>
      <c r="P8">
        <v>5</v>
      </c>
      <c r="Q8">
        <v>6.6</v>
      </c>
      <c r="R8">
        <v>6.4</v>
      </c>
      <c r="S8" t="s">
        <v>27</v>
      </c>
      <c r="AC8" s="5">
        <v>31</v>
      </c>
      <c r="AD8" s="11">
        <v>11</v>
      </c>
      <c r="AK8" s="5">
        <v>1.4</v>
      </c>
      <c r="AL8" s="11">
        <v>23.599999999999998</v>
      </c>
      <c r="AN8" s="5">
        <v>1.1000000000000001</v>
      </c>
      <c r="AO8" s="11">
        <v>5.35</v>
      </c>
    </row>
    <row r="9" spans="1:41" ht="72.5" x14ac:dyDescent="0.35">
      <c r="A9" t="s">
        <v>60</v>
      </c>
      <c r="B9">
        <v>32</v>
      </c>
      <c r="C9" t="s">
        <v>20</v>
      </c>
      <c r="D9" t="s">
        <v>61</v>
      </c>
      <c r="E9" t="s">
        <v>22</v>
      </c>
      <c r="F9" t="s">
        <v>62</v>
      </c>
      <c r="G9" s="1" t="s">
        <v>63</v>
      </c>
      <c r="H9" s="3">
        <v>486</v>
      </c>
      <c r="I9" t="s">
        <v>38</v>
      </c>
      <c r="J9" t="s">
        <v>64</v>
      </c>
      <c r="K9">
        <v>2</v>
      </c>
      <c r="L9" s="1" t="s">
        <v>65</v>
      </c>
      <c r="M9" s="2">
        <v>0</v>
      </c>
      <c r="N9">
        <v>6.5</v>
      </c>
      <c r="O9">
        <v>2</v>
      </c>
      <c r="P9">
        <v>5</v>
      </c>
      <c r="Q9">
        <v>3.2</v>
      </c>
      <c r="R9">
        <v>6.4</v>
      </c>
      <c r="S9" t="s">
        <v>27</v>
      </c>
      <c r="AC9" s="5">
        <v>32</v>
      </c>
      <c r="AD9" s="11">
        <v>12</v>
      </c>
      <c r="AK9" s="5">
        <v>1.5</v>
      </c>
      <c r="AL9" s="11">
        <v>49.5</v>
      </c>
      <c r="AN9" s="5">
        <v>1.2</v>
      </c>
      <c r="AO9" s="11">
        <v>2.8555555555555556</v>
      </c>
    </row>
    <row r="10" spans="1:41" ht="58" x14ac:dyDescent="0.35">
      <c r="A10" t="s">
        <v>66</v>
      </c>
      <c r="B10">
        <v>16</v>
      </c>
      <c r="C10" t="s">
        <v>20</v>
      </c>
      <c r="D10" t="s">
        <v>61</v>
      </c>
      <c r="E10" t="s">
        <v>36</v>
      </c>
      <c r="F10" t="s">
        <v>49</v>
      </c>
      <c r="G10" s="1" t="s">
        <v>67</v>
      </c>
      <c r="H10" s="3">
        <v>132</v>
      </c>
      <c r="I10" t="s">
        <v>68</v>
      </c>
      <c r="J10" t="s">
        <v>64</v>
      </c>
      <c r="K10">
        <v>1.6</v>
      </c>
      <c r="L10" s="1" t="s">
        <v>69</v>
      </c>
      <c r="M10" s="2">
        <v>30</v>
      </c>
      <c r="N10">
        <v>4.7</v>
      </c>
      <c r="O10">
        <v>4</v>
      </c>
      <c r="P10">
        <v>6</v>
      </c>
      <c r="Q10">
        <v>3.8</v>
      </c>
      <c r="R10">
        <v>3.8</v>
      </c>
      <c r="S10" t="s">
        <v>27</v>
      </c>
      <c r="AC10" s="5" t="s">
        <v>754</v>
      </c>
      <c r="AD10" s="11">
        <v>23</v>
      </c>
      <c r="AK10" s="5">
        <v>1.6</v>
      </c>
      <c r="AL10" s="11">
        <v>51.800000000000004</v>
      </c>
      <c r="AN10" s="5">
        <v>1.3</v>
      </c>
      <c r="AO10" s="11">
        <v>3.0888888888888895</v>
      </c>
    </row>
    <row r="11" spans="1:41" ht="43.5" x14ac:dyDescent="0.35">
      <c r="A11" t="s">
        <v>70</v>
      </c>
      <c r="B11">
        <v>40</v>
      </c>
      <c r="C11" t="s">
        <v>48</v>
      </c>
      <c r="D11" t="s">
        <v>96</v>
      </c>
      <c r="E11" t="s">
        <v>22</v>
      </c>
      <c r="F11" t="s">
        <v>62</v>
      </c>
      <c r="H11" s="3">
        <v>1595</v>
      </c>
      <c r="I11" t="s">
        <v>38</v>
      </c>
      <c r="J11" t="s">
        <v>71</v>
      </c>
      <c r="K11">
        <v>1.7</v>
      </c>
      <c r="L11" s="1" t="s">
        <v>72</v>
      </c>
      <c r="M11" s="2">
        <v>10</v>
      </c>
      <c r="O11">
        <v>2</v>
      </c>
      <c r="P11">
        <v>5</v>
      </c>
      <c r="Q11">
        <v>7.5</v>
      </c>
      <c r="R11">
        <v>9.4</v>
      </c>
      <c r="S11" t="s">
        <v>46</v>
      </c>
      <c r="AK11" s="5">
        <v>1.7</v>
      </c>
      <c r="AL11" s="11">
        <v>56.3</v>
      </c>
      <c r="AN11" s="5">
        <v>1.4</v>
      </c>
      <c r="AO11" s="11">
        <v>2.4555555555555557</v>
      </c>
    </row>
    <row r="12" spans="1:41" ht="58" x14ac:dyDescent="0.35">
      <c r="A12" t="s">
        <v>73</v>
      </c>
      <c r="B12">
        <v>36</v>
      </c>
      <c r="C12" t="s">
        <v>20</v>
      </c>
      <c r="D12" t="s">
        <v>74</v>
      </c>
      <c r="E12" t="s">
        <v>22</v>
      </c>
      <c r="F12" t="s">
        <v>23</v>
      </c>
      <c r="G12" s="1" t="s">
        <v>75</v>
      </c>
      <c r="H12" s="3">
        <v>856</v>
      </c>
      <c r="I12" t="s">
        <v>38</v>
      </c>
      <c r="J12" t="s">
        <v>76</v>
      </c>
      <c r="K12">
        <v>2.7</v>
      </c>
      <c r="L12" s="1" t="s">
        <v>77</v>
      </c>
      <c r="M12" s="2">
        <v>0</v>
      </c>
      <c r="O12">
        <v>4</v>
      </c>
      <c r="P12">
        <v>6</v>
      </c>
      <c r="Q12">
        <v>5.7</v>
      </c>
      <c r="R12">
        <v>8.6999999999999993</v>
      </c>
      <c r="S12" t="s">
        <v>27</v>
      </c>
      <c r="AK12" s="5">
        <v>1.9</v>
      </c>
      <c r="AL12" s="11">
        <v>46.5</v>
      </c>
      <c r="AN12" s="5">
        <v>1.5</v>
      </c>
      <c r="AO12" s="11">
        <v>4.1166666666666663</v>
      </c>
    </row>
    <row r="13" spans="1:41" ht="58" x14ac:dyDescent="0.35">
      <c r="A13" t="s">
        <v>78</v>
      </c>
      <c r="B13">
        <v>22</v>
      </c>
      <c r="C13" t="s">
        <v>48</v>
      </c>
      <c r="D13" t="s">
        <v>35</v>
      </c>
      <c r="E13" t="s">
        <v>36</v>
      </c>
      <c r="F13" t="s">
        <v>49</v>
      </c>
      <c r="G13" s="1" t="s">
        <v>79</v>
      </c>
      <c r="H13" s="3">
        <v>547</v>
      </c>
      <c r="I13" t="s">
        <v>68</v>
      </c>
      <c r="J13" t="s">
        <v>76</v>
      </c>
      <c r="K13">
        <v>5</v>
      </c>
      <c r="L13" s="1" t="s">
        <v>80</v>
      </c>
      <c r="M13" s="2">
        <v>0</v>
      </c>
      <c r="N13">
        <v>6.6</v>
      </c>
      <c r="O13">
        <v>3</v>
      </c>
      <c r="P13">
        <v>6</v>
      </c>
      <c r="Q13">
        <v>9.8000000000000007</v>
      </c>
      <c r="R13">
        <v>5.6</v>
      </c>
      <c r="S13" t="s">
        <v>40</v>
      </c>
      <c r="AK13" s="5">
        <v>2</v>
      </c>
      <c r="AL13" s="11">
        <v>40.900000000000006</v>
      </c>
      <c r="AN13" s="5">
        <v>1.6</v>
      </c>
      <c r="AO13" s="11">
        <v>4.8916666666666666</v>
      </c>
    </row>
    <row r="14" spans="1:41" ht="58" x14ac:dyDescent="0.35">
      <c r="A14" t="s">
        <v>81</v>
      </c>
      <c r="B14">
        <v>30</v>
      </c>
      <c r="C14" t="s">
        <v>48</v>
      </c>
      <c r="D14" t="s">
        <v>82</v>
      </c>
      <c r="E14" t="s">
        <v>22</v>
      </c>
      <c r="F14" t="s">
        <v>30</v>
      </c>
      <c r="G14" s="1" t="s">
        <v>83</v>
      </c>
      <c r="H14" s="3">
        <v>3307</v>
      </c>
      <c r="I14" t="s">
        <v>38</v>
      </c>
      <c r="J14" t="s">
        <v>39</v>
      </c>
      <c r="K14">
        <v>0.8</v>
      </c>
      <c r="L14" s="1" t="s">
        <v>84</v>
      </c>
      <c r="M14" s="2">
        <v>10</v>
      </c>
      <c r="N14">
        <v>2.2999999999999998</v>
      </c>
      <c r="O14">
        <v>4</v>
      </c>
      <c r="P14">
        <v>4</v>
      </c>
      <c r="Q14">
        <v>0.5</v>
      </c>
      <c r="R14">
        <v>8</v>
      </c>
      <c r="S14" t="s">
        <v>40</v>
      </c>
      <c r="AK14" s="5">
        <v>2.2000000000000002</v>
      </c>
      <c r="AL14" s="11">
        <v>25.6</v>
      </c>
      <c r="AN14" s="5">
        <v>1.7</v>
      </c>
      <c r="AO14" s="11">
        <v>4.4750000000000005</v>
      </c>
    </row>
    <row r="15" spans="1:41" ht="58" x14ac:dyDescent="0.35">
      <c r="A15" t="s">
        <v>85</v>
      </c>
      <c r="B15">
        <v>21</v>
      </c>
      <c r="C15" t="s">
        <v>20</v>
      </c>
      <c r="D15" t="s">
        <v>35</v>
      </c>
      <c r="E15" t="s">
        <v>36</v>
      </c>
      <c r="F15" t="s">
        <v>49</v>
      </c>
      <c r="G15" s="1" t="s">
        <v>86</v>
      </c>
      <c r="H15" s="3">
        <v>387</v>
      </c>
      <c r="I15" t="s">
        <v>38</v>
      </c>
      <c r="J15" t="s">
        <v>39</v>
      </c>
      <c r="K15">
        <v>5.8</v>
      </c>
      <c r="L15" s="1" t="s">
        <v>87</v>
      </c>
      <c r="M15" s="2">
        <v>30</v>
      </c>
      <c r="N15">
        <v>6.9</v>
      </c>
      <c r="O15">
        <v>4</v>
      </c>
      <c r="P15">
        <v>8</v>
      </c>
      <c r="Q15">
        <v>10.199999999999999</v>
      </c>
      <c r="R15">
        <v>4.8</v>
      </c>
      <c r="S15" t="s">
        <v>27</v>
      </c>
      <c r="AK15" s="5">
        <v>2.2999999999999998</v>
      </c>
      <c r="AL15" s="11">
        <v>28.299999999999997</v>
      </c>
      <c r="AN15" s="5">
        <v>1.8</v>
      </c>
      <c r="AO15" s="11">
        <v>3.9666666666666663</v>
      </c>
    </row>
    <row r="16" spans="1:41" ht="72.5" x14ac:dyDescent="0.35">
      <c r="A16" t="s">
        <v>88</v>
      </c>
      <c r="B16">
        <v>28</v>
      </c>
      <c r="C16" t="s">
        <v>48</v>
      </c>
      <c r="D16" t="s">
        <v>21</v>
      </c>
      <c r="E16" t="s">
        <v>22</v>
      </c>
      <c r="F16" t="s">
        <v>30</v>
      </c>
      <c r="G16" s="1" t="s">
        <v>89</v>
      </c>
      <c r="H16" s="3">
        <v>3117</v>
      </c>
      <c r="I16" t="s">
        <v>68</v>
      </c>
      <c r="J16" t="s">
        <v>55</v>
      </c>
      <c r="K16">
        <v>3.9</v>
      </c>
      <c r="L16" s="1" t="s">
        <v>90</v>
      </c>
      <c r="M16" s="2">
        <v>10</v>
      </c>
      <c r="N16">
        <v>8.6</v>
      </c>
      <c r="O16">
        <v>3</v>
      </c>
      <c r="P16">
        <v>8</v>
      </c>
      <c r="Q16">
        <v>11.8</v>
      </c>
      <c r="R16">
        <v>7.6</v>
      </c>
      <c r="S16" t="s">
        <v>27</v>
      </c>
      <c r="AK16" s="5">
        <v>2.8</v>
      </c>
      <c r="AL16" s="11">
        <v>30.299999999999997</v>
      </c>
      <c r="AN16" s="5">
        <v>1.9</v>
      </c>
      <c r="AO16" s="11">
        <v>3.6363636363636362</v>
      </c>
    </row>
    <row r="17" spans="1:41" ht="58" x14ac:dyDescent="0.35">
      <c r="A17" t="s">
        <v>95</v>
      </c>
      <c r="B17">
        <v>23</v>
      </c>
      <c r="C17" t="s">
        <v>20</v>
      </c>
      <c r="D17" t="s">
        <v>96</v>
      </c>
      <c r="E17" t="s">
        <v>36</v>
      </c>
      <c r="F17" t="s">
        <v>23</v>
      </c>
      <c r="G17" s="1" t="s">
        <v>97</v>
      </c>
      <c r="H17" s="3">
        <v>109</v>
      </c>
      <c r="I17" t="s">
        <v>178</v>
      </c>
      <c r="J17" t="s">
        <v>71</v>
      </c>
      <c r="K17">
        <v>1.5</v>
      </c>
      <c r="L17" s="1" t="s">
        <v>98</v>
      </c>
      <c r="M17" s="2">
        <v>20</v>
      </c>
      <c r="N17">
        <v>3.9</v>
      </c>
      <c r="O17">
        <v>3</v>
      </c>
      <c r="P17">
        <v>6</v>
      </c>
      <c r="Q17">
        <v>3.7</v>
      </c>
      <c r="R17">
        <v>3.9</v>
      </c>
      <c r="S17" t="s">
        <v>27</v>
      </c>
      <c r="AK17" s="5">
        <v>2.9</v>
      </c>
      <c r="AL17" s="11">
        <v>26.200000000000003</v>
      </c>
      <c r="AN17" s="5">
        <v>2</v>
      </c>
      <c r="AO17" s="11">
        <v>4.1625000000000005</v>
      </c>
    </row>
    <row r="18" spans="1:41" ht="58" x14ac:dyDescent="0.35">
      <c r="A18" t="s">
        <v>99</v>
      </c>
      <c r="B18">
        <v>22</v>
      </c>
      <c r="C18" t="s">
        <v>48</v>
      </c>
      <c r="D18" t="s">
        <v>100</v>
      </c>
      <c r="E18" t="s">
        <v>36</v>
      </c>
      <c r="F18" t="s">
        <v>62</v>
      </c>
      <c r="G18" s="1" t="s">
        <v>50</v>
      </c>
      <c r="H18" s="3">
        <v>109</v>
      </c>
      <c r="I18" t="s">
        <v>38</v>
      </c>
      <c r="J18" t="s">
        <v>76</v>
      </c>
      <c r="K18">
        <v>9.6</v>
      </c>
      <c r="L18" s="1" t="s">
        <v>101</v>
      </c>
      <c r="M18" s="2">
        <v>20</v>
      </c>
      <c r="N18">
        <v>7.3</v>
      </c>
      <c r="O18">
        <v>4</v>
      </c>
      <c r="P18">
        <v>9</v>
      </c>
      <c r="Q18">
        <v>19.399999999999999</v>
      </c>
      <c r="R18">
        <v>5.2</v>
      </c>
      <c r="S18" t="s">
        <v>27</v>
      </c>
      <c r="AK18" s="5">
        <v>3.3</v>
      </c>
      <c r="AL18" s="11">
        <v>26.7</v>
      </c>
      <c r="AN18" s="5">
        <v>2.1</v>
      </c>
      <c r="AO18" s="11">
        <v>3.4</v>
      </c>
    </row>
    <row r="19" spans="1:41" ht="72.5" x14ac:dyDescent="0.35">
      <c r="A19" t="s">
        <v>102</v>
      </c>
      <c r="B19">
        <v>61</v>
      </c>
      <c r="C19" t="s">
        <v>20</v>
      </c>
      <c r="D19" t="s">
        <v>103</v>
      </c>
      <c r="E19" t="s">
        <v>22</v>
      </c>
      <c r="F19" t="s">
        <v>104</v>
      </c>
      <c r="G19" s="1" t="s">
        <v>105</v>
      </c>
      <c r="H19" s="3">
        <v>585</v>
      </c>
      <c r="I19" t="s">
        <v>178</v>
      </c>
      <c r="J19" t="s">
        <v>76</v>
      </c>
      <c r="K19">
        <v>23</v>
      </c>
      <c r="L19" s="1" t="s">
        <v>106</v>
      </c>
      <c r="M19" s="2">
        <v>10</v>
      </c>
      <c r="N19">
        <v>4.0999999999999996</v>
      </c>
      <c r="O19">
        <v>3</v>
      </c>
      <c r="P19">
        <v>4</v>
      </c>
      <c r="Q19">
        <v>5.4</v>
      </c>
      <c r="R19">
        <v>9.5</v>
      </c>
      <c r="S19" t="s">
        <v>40</v>
      </c>
      <c r="AK19" s="5">
        <v>3.4</v>
      </c>
      <c r="AL19" s="11">
        <v>33.400000000000006</v>
      </c>
      <c r="AN19" s="5">
        <v>2.2000000000000002</v>
      </c>
      <c r="AO19" s="11">
        <v>3.38</v>
      </c>
    </row>
    <row r="20" spans="1:41" ht="58" x14ac:dyDescent="0.35">
      <c r="A20" t="s">
        <v>107</v>
      </c>
      <c r="B20">
        <v>24</v>
      </c>
      <c r="C20" t="s">
        <v>20</v>
      </c>
      <c r="D20" t="s">
        <v>96</v>
      </c>
      <c r="E20" t="s">
        <v>22</v>
      </c>
      <c r="F20" t="s">
        <v>104</v>
      </c>
      <c r="G20" s="1" t="s">
        <v>108</v>
      </c>
      <c r="H20" s="3">
        <v>1977</v>
      </c>
      <c r="I20" t="s">
        <v>38</v>
      </c>
      <c r="J20" t="s">
        <v>32</v>
      </c>
      <c r="K20">
        <v>0.9</v>
      </c>
      <c r="L20" s="1" t="s">
        <v>109</v>
      </c>
      <c r="M20" s="2">
        <v>10</v>
      </c>
      <c r="N20">
        <v>4.0999999999999996</v>
      </c>
      <c r="O20">
        <v>3</v>
      </c>
      <c r="P20">
        <v>6</v>
      </c>
      <c r="Q20">
        <v>0</v>
      </c>
      <c r="R20">
        <v>7.3</v>
      </c>
      <c r="S20" t="s">
        <v>46</v>
      </c>
      <c r="AK20" s="5">
        <v>3.7</v>
      </c>
      <c r="AL20" s="11">
        <v>25.9</v>
      </c>
      <c r="AN20" s="5">
        <v>2.2999999999999998</v>
      </c>
      <c r="AO20" s="11">
        <v>2.9166666666666665</v>
      </c>
    </row>
    <row r="21" spans="1:41" ht="58" x14ac:dyDescent="0.35">
      <c r="A21" t="s">
        <v>110</v>
      </c>
      <c r="B21">
        <v>23</v>
      </c>
      <c r="C21" t="s">
        <v>48</v>
      </c>
      <c r="D21" t="s">
        <v>74</v>
      </c>
      <c r="E21" t="s">
        <v>36</v>
      </c>
      <c r="F21" t="s">
        <v>23</v>
      </c>
      <c r="G21" s="1" t="s">
        <v>97</v>
      </c>
      <c r="H21" s="3">
        <v>0</v>
      </c>
      <c r="I21" t="s">
        <v>38</v>
      </c>
      <c r="J21" t="s">
        <v>71</v>
      </c>
      <c r="K21">
        <v>1.7</v>
      </c>
      <c r="L21" s="1" t="s">
        <v>111</v>
      </c>
      <c r="M21" s="2">
        <v>20</v>
      </c>
      <c r="N21">
        <v>2.8</v>
      </c>
      <c r="O21">
        <v>2</v>
      </c>
      <c r="P21">
        <v>3</v>
      </c>
      <c r="Q21">
        <v>2.7</v>
      </c>
      <c r="R21">
        <v>5.4</v>
      </c>
      <c r="S21" t="s">
        <v>40</v>
      </c>
      <c r="AK21" s="5">
        <v>3.9</v>
      </c>
      <c r="AL21" s="11">
        <v>34.1</v>
      </c>
      <c r="AN21" s="5">
        <v>2.4</v>
      </c>
      <c r="AO21" s="11">
        <v>4.8500000000000005</v>
      </c>
    </row>
    <row r="22" spans="1:41" ht="43.5" x14ac:dyDescent="0.35">
      <c r="A22" t="s">
        <v>112</v>
      </c>
      <c r="B22">
        <v>29</v>
      </c>
      <c r="C22" t="s">
        <v>748</v>
      </c>
      <c r="D22" t="s">
        <v>113</v>
      </c>
      <c r="E22" t="s">
        <v>22</v>
      </c>
      <c r="F22" t="s">
        <v>30</v>
      </c>
      <c r="G22" s="1" t="s">
        <v>114</v>
      </c>
      <c r="I22" t="s">
        <v>38</v>
      </c>
      <c r="J22" t="s">
        <v>32</v>
      </c>
      <c r="K22">
        <v>1</v>
      </c>
      <c r="N22">
        <v>4</v>
      </c>
      <c r="O22">
        <v>3</v>
      </c>
      <c r="P22">
        <v>6</v>
      </c>
      <c r="Q22">
        <v>2.7</v>
      </c>
      <c r="R22">
        <v>8</v>
      </c>
      <c r="S22" t="s">
        <v>46</v>
      </c>
      <c r="AK22" s="5">
        <v>4.0999999999999996</v>
      </c>
      <c r="AL22" s="11">
        <v>29.099999999999998</v>
      </c>
      <c r="AN22" s="5">
        <v>2.5</v>
      </c>
      <c r="AO22" s="11">
        <v>5</v>
      </c>
    </row>
    <row r="23" spans="1:41" ht="58" x14ac:dyDescent="0.35">
      <c r="A23" t="s">
        <v>115</v>
      </c>
      <c r="B23">
        <v>29</v>
      </c>
      <c r="C23" t="s">
        <v>20</v>
      </c>
      <c r="D23" t="s">
        <v>21</v>
      </c>
      <c r="E23" t="s">
        <v>36</v>
      </c>
      <c r="F23" t="s">
        <v>62</v>
      </c>
      <c r="G23" s="1" t="s">
        <v>37</v>
      </c>
      <c r="H23" s="3">
        <v>0</v>
      </c>
      <c r="I23" t="s">
        <v>116</v>
      </c>
      <c r="J23" t="s">
        <v>39</v>
      </c>
      <c r="K23">
        <v>2.6</v>
      </c>
      <c r="L23" s="1" t="s">
        <v>117</v>
      </c>
      <c r="M23" s="2">
        <v>10</v>
      </c>
      <c r="N23">
        <v>3.7</v>
      </c>
      <c r="O23">
        <v>4</v>
      </c>
      <c r="P23">
        <v>7</v>
      </c>
      <c r="Q23">
        <v>4.8</v>
      </c>
      <c r="R23">
        <v>6.2</v>
      </c>
      <c r="S23" t="s">
        <v>27</v>
      </c>
      <c r="AK23" s="5">
        <v>4.4000000000000004</v>
      </c>
      <c r="AL23" s="11">
        <v>27</v>
      </c>
      <c r="AN23" s="5">
        <v>2.6</v>
      </c>
      <c r="AO23" s="11">
        <v>4.2</v>
      </c>
    </row>
    <row r="24" spans="1:41" ht="72.5" x14ac:dyDescent="0.35">
      <c r="A24" t="s">
        <v>118</v>
      </c>
      <c r="B24">
        <v>24</v>
      </c>
      <c r="C24" t="s">
        <v>48</v>
      </c>
      <c r="D24" t="s">
        <v>21</v>
      </c>
      <c r="E24" t="s">
        <v>36</v>
      </c>
      <c r="G24" s="1" t="s">
        <v>79</v>
      </c>
      <c r="H24" s="3">
        <v>444</v>
      </c>
      <c r="I24" t="s">
        <v>178</v>
      </c>
      <c r="J24" t="s">
        <v>119</v>
      </c>
      <c r="K24">
        <v>1.2</v>
      </c>
      <c r="L24" s="1" t="s">
        <v>120</v>
      </c>
      <c r="M24" s="2">
        <v>0</v>
      </c>
      <c r="N24">
        <v>3.8</v>
      </c>
      <c r="O24">
        <v>3</v>
      </c>
      <c r="P24">
        <v>5</v>
      </c>
      <c r="Q24">
        <v>3</v>
      </c>
      <c r="R24">
        <v>7.2</v>
      </c>
      <c r="S24" t="s">
        <v>40</v>
      </c>
      <c r="AK24" s="5">
        <v>4.9000000000000004</v>
      </c>
      <c r="AL24" s="11">
        <v>31.000000000000004</v>
      </c>
      <c r="AN24" s="5">
        <v>2.7</v>
      </c>
      <c r="AO24" s="11">
        <v>6.375</v>
      </c>
    </row>
    <row r="25" spans="1:41" ht="72.5" x14ac:dyDescent="0.35">
      <c r="A25" t="s">
        <v>121</v>
      </c>
      <c r="B25">
        <v>28</v>
      </c>
      <c r="C25" t="s">
        <v>20</v>
      </c>
      <c r="D25" t="s">
        <v>61</v>
      </c>
      <c r="E25" t="s">
        <v>22</v>
      </c>
      <c r="F25" t="s">
        <v>30</v>
      </c>
      <c r="G25" s="1" t="s">
        <v>122</v>
      </c>
      <c r="H25" s="3">
        <v>392</v>
      </c>
      <c r="I25" t="s">
        <v>38</v>
      </c>
      <c r="J25" t="s">
        <v>64</v>
      </c>
      <c r="K25">
        <v>1.6</v>
      </c>
      <c r="L25" s="1" t="s">
        <v>123</v>
      </c>
      <c r="M25" s="2">
        <v>10</v>
      </c>
      <c r="N25">
        <v>4</v>
      </c>
      <c r="O25">
        <v>2</v>
      </c>
      <c r="P25">
        <v>3</v>
      </c>
      <c r="Q25">
        <v>4.5</v>
      </c>
      <c r="R25">
        <v>7.8</v>
      </c>
      <c r="S25" t="s">
        <v>27</v>
      </c>
      <c r="AK25" s="5">
        <v>5</v>
      </c>
      <c r="AL25" s="11">
        <v>27.5</v>
      </c>
      <c r="AN25" s="5">
        <v>2.8</v>
      </c>
      <c r="AO25" s="11">
        <v>6.6400000000000006</v>
      </c>
    </row>
    <row r="26" spans="1:41" ht="43.5" x14ac:dyDescent="0.35">
      <c r="A26" t="s">
        <v>124</v>
      </c>
      <c r="B26">
        <v>23</v>
      </c>
      <c r="C26" t="s">
        <v>20</v>
      </c>
      <c r="D26" t="s">
        <v>42</v>
      </c>
      <c r="E26" t="s">
        <v>36</v>
      </c>
      <c r="F26" t="s">
        <v>49</v>
      </c>
      <c r="G26" s="1" t="s">
        <v>37</v>
      </c>
      <c r="H26" s="3">
        <v>215</v>
      </c>
      <c r="I26" t="s">
        <v>38</v>
      </c>
      <c r="J26" t="s">
        <v>39</v>
      </c>
      <c r="K26">
        <v>0.6</v>
      </c>
      <c r="L26" s="1" t="s">
        <v>125</v>
      </c>
      <c r="M26" s="2">
        <v>10</v>
      </c>
      <c r="N26">
        <v>3</v>
      </c>
      <c r="O26">
        <v>4</v>
      </c>
      <c r="P26">
        <v>5</v>
      </c>
      <c r="Q26">
        <v>0</v>
      </c>
      <c r="R26">
        <v>6.5</v>
      </c>
      <c r="S26" t="s">
        <v>40</v>
      </c>
      <c r="AK26" s="5">
        <v>5.4</v>
      </c>
      <c r="AL26" s="11">
        <v>24.6</v>
      </c>
      <c r="AN26" s="5">
        <v>2.9</v>
      </c>
      <c r="AO26" s="11">
        <v>7.7666666666666666</v>
      </c>
    </row>
    <row r="27" spans="1:41" ht="72.5" x14ac:dyDescent="0.35">
      <c r="A27" t="s">
        <v>126</v>
      </c>
      <c r="B27">
        <v>28</v>
      </c>
      <c r="C27" t="s">
        <v>48</v>
      </c>
      <c r="D27" t="s">
        <v>42</v>
      </c>
      <c r="E27" t="s">
        <v>22</v>
      </c>
      <c r="F27" t="s">
        <v>30</v>
      </c>
      <c r="G27" s="1" t="s">
        <v>127</v>
      </c>
      <c r="H27" s="3">
        <v>1567</v>
      </c>
      <c r="I27" t="s">
        <v>449</v>
      </c>
      <c r="J27" t="s">
        <v>76</v>
      </c>
      <c r="K27">
        <v>0.7</v>
      </c>
      <c r="L27" s="1" t="s">
        <v>128</v>
      </c>
      <c r="M27" s="2">
        <v>0</v>
      </c>
      <c r="N27">
        <v>4</v>
      </c>
      <c r="O27">
        <v>3</v>
      </c>
      <c r="P27">
        <v>6</v>
      </c>
      <c r="Q27">
        <v>4.4000000000000004</v>
      </c>
      <c r="R27">
        <v>8.1</v>
      </c>
      <c r="S27" t="s">
        <v>40</v>
      </c>
      <c r="AK27" s="5">
        <v>5.5</v>
      </c>
      <c r="AL27" s="11">
        <v>23.7</v>
      </c>
      <c r="AN27" s="5">
        <v>3</v>
      </c>
      <c r="AO27" s="11">
        <v>6.4</v>
      </c>
    </row>
    <row r="28" spans="1:41" ht="58" x14ac:dyDescent="0.35">
      <c r="A28" t="s">
        <v>129</v>
      </c>
      <c r="B28">
        <v>23</v>
      </c>
      <c r="C28" t="s">
        <v>20</v>
      </c>
      <c r="D28" t="s">
        <v>35</v>
      </c>
      <c r="E28" t="s">
        <v>36</v>
      </c>
      <c r="F28" t="s">
        <v>49</v>
      </c>
      <c r="G28" s="1" t="s">
        <v>50</v>
      </c>
      <c r="I28" t="s">
        <v>38</v>
      </c>
      <c r="J28" t="s">
        <v>119</v>
      </c>
      <c r="K28">
        <v>7.4</v>
      </c>
      <c r="L28" s="1" t="s">
        <v>130</v>
      </c>
      <c r="M28" s="2">
        <v>0</v>
      </c>
      <c r="N28">
        <v>8.6999999999999993</v>
      </c>
      <c r="O28">
        <v>3</v>
      </c>
      <c r="P28">
        <v>9</v>
      </c>
      <c r="Q28">
        <v>12.3</v>
      </c>
      <c r="R28">
        <v>6.8</v>
      </c>
      <c r="S28" t="s">
        <v>27</v>
      </c>
      <c r="AK28" s="5">
        <v>5.7</v>
      </c>
      <c r="AL28" s="11">
        <v>22.5</v>
      </c>
      <c r="AN28" s="5">
        <v>3.1</v>
      </c>
      <c r="AO28" s="11">
        <v>5.2</v>
      </c>
    </row>
    <row r="29" spans="1:41" ht="43.5" x14ac:dyDescent="0.35">
      <c r="A29" t="s">
        <v>131</v>
      </c>
      <c r="C29" t="s">
        <v>20</v>
      </c>
      <c r="D29" t="s">
        <v>82</v>
      </c>
      <c r="E29" t="s">
        <v>36</v>
      </c>
      <c r="G29" s="1" t="s">
        <v>132</v>
      </c>
      <c r="H29" s="3">
        <v>0</v>
      </c>
      <c r="I29" t="s">
        <v>38</v>
      </c>
      <c r="J29" t="s">
        <v>76</v>
      </c>
      <c r="K29">
        <v>5.4</v>
      </c>
      <c r="L29" s="1" t="s">
        <v>133</v>
      </c>
      <c r="M29" s="2">
        <v>0</v>
      </c>
      <c r="N29">
        <v>7.2</v>
      </c>
      <c r="O29">
        <v>4</v>
      </c>
      <c r="P29">
        <v>8</v>
      </c>
      <c r="Q29">
        <v>10.7</v>
      </c>
      <c r="R29">
        <v>4.8</v>
      </c>
      <c r="S29" t="s">
        <v>40</v>
      </c>
      <c r="AK29" s="5" t="s">
        <v>754</v>
      </c>
      <c r="AL29" s="11">
        <v>39.599999999999994</v>
      </c>
      <c r="AN29" s="5">
        <v>3.2</v>
      </c>
      <c r="AO29" s="11">
        <v>7.4</v>
      </c>
    </row>
    <row r="30" spans="1:41" ht="58" x14ac:dyDescent="0.35">
      <c r="A30" t="s">
        <v>134</v>
      </c>
      <c r="B30">
        <v>23</v>
      </c>
      <c r="C30" t="s">
        <v>48</v>
      </c>
      <c r="D30" t="s">
        <v>82</v>
      </c>
      <c r="E30" t="s">
        <v>36</v>
      </c>
      <c r="F30" t="s">
        <v>49</v>
      </c>
      <c r="G30" s="1" t="s">
        <v>97</v>
      </c>
      <c r="H30" s="3">
        <v>531</v>
      </c>
      <c r="I30" t="s">
        <v>38</v>
      </c>
      <c r="J30" t="s">
        <v>71</v>
      </c>
      <c r="K30">
        <v>5.2</v>
      </c>
      <c r="L30" s="1" t="s">
        <v>135</v>
      </c>
      <c r="M30" s="2">
        <v>0</v>
      </c>
      <c r="N30">
        <v>6.7</v>
      </c>
      <c r="P30">
        <v>7</v>
      </c>
      <c r="Q30">
        <v>12.1</v>
      </c>
      <c r="R30">
        <v>7</v>
      </c>
      <c r="S30" t="s">
        <v>27</v>
      </c>
      <c r="AN30" s="5">
        <v>3.3</v>
      </c>
      <c r="AO30" s="11">
        <v>6.625</v>
      </c>
    </row>
    <row r="31" spans="1:41" ht="72.5" x14ac:dyDescent="0.35">
      <c r="A31" t="s">
        <v>136</v>
      </c>
      <c r="B31">
        <v>44</v>
      </c>
      <c r="C31" t="s">
        <v>20</v>
      </c>
      <c r="D31" t="s">
        <v>100</v>
      </c>
      <c r="E31" t="s">
        <v>22</v>
      </c>
      <c r="F31" t="s">
        <v>30</v>
      </c>
      <c r="G31" s="1" t="s">
        <v>75</v>
      </c>
      <c r="H31" s="3">
        <v>258</v>
      </c>
      <c r="I31" t="s">
        <v>137</v>
      </c>
      <c r="K31">
        <v>3.7</v>
      </c>
      <c r="L31" s="1" t="s">
        <v>138</v>
      </c>
      <c r="M31" s="2">
        <v>0</v>
      </c>
      <c r="N31">
        <v>4.5999999999999996</v>
      </c>
      <c r="O31">
        <v>5</v>
      </c>
      <c r="P31">
        <v>6</v>
      </c>
      <c r="Q31">
        <v>5.7</v>
      </c>
      <c r="R31">
        <v>6.9</v>
      </c>
      <c r="S31" t="s">
        <v>27</v>
      </c>
      <c r="AN31" s="5">
        <v>3.4</v>
      </c>
      <c r="AO31" s="11">
        <v>7.1500000000000012</v>
      </c>
    </row>
    <row r="32" spans="1:41" ht="58" x14ac:dyDescent="0.35">
      <c r="A32" t="s">
        <v>139</v>
      </c>
      <c r="B32">
        <v>23</v>
      </c>
      <c r="C32" t="s">
        <v>20</v>
      </c>
      <c r="D32" t="s">
        <v>103</v>
      </c>
      <c r="E32" t="s">
        <v>22</v>
      </c>
      <c r="F32" t="s">
        <v>104</v>
      </c>
      <c r="G32" s="1" t="s">
        <v>140</v>
      </c>
      <c r="H32" s="3">
        <v>334</v>
      </c>
      <c r="I32" t="s">
        <v>38</v>
      </c>
      <c r="J32" t="s">
        <v>76</v>
      </c>
      <c r="K32">
        <v>2.2999999999999998</v>
      </c>
      <c r="L32" s="1" t="s">
        <v>141</v>
      </c>
      <c r="M32" s="2">
        <v>20</v>
      </c>
      <c r="N32">
        <v>3.9</v>
      </c>
      <c r="O32">
        <v>2</v>
      </c>
      <c r="P32">
        <v>5</v>
      </c>
      <c r="Q32">
        <v>2.5</v>
      </c>
      <c r="R32">
        <v>7.7</v>
      </c>
      <c r="S32" t="s">
        <v>40</v>
      </c>
      <c r="AN32" s="5">
        <v>3.5</v>
      </c>
      <c r="AO32" s="11">
        <v>7.65</v>
      </c>
    </row>
    <row r="33" spans="1:41" ht="58" x14ac:dyDescent="0.35">
      <c r="A33" t="s">
        <v>142</v>
      </c>
      <c r="B33">
        <v>23</v>
      </c>
      <c r="C33" t="s">
        <v>20</v>
      </c>
      <c r="D33" t="s">
        <v>96</v>
      </c>
      <c r="E33" t="s">
        <v>36</v>
      </c>
      <c r="F33" t="s">
        <v>143</v>
      </c>
      <c r="G33" s="1" t="s">
        <v>144</v>
      </c>
      <c r="H33" s="3">
        <v>169</v>
      </c>
      <c r="J33" t="s">
        <v>119</v>
      </c>
      <c r="K33">
        <v>5.4</v>
      </c>
      <c r="L33" s="1" t="s">
        <v>145</v>
      </c>
      <c r="M33" s="2">
        <v>0</v>
      </c>
      <c r="N33">
        <v>8.1</v>
      </c>
      <c r="O33">
        <v>4</v>
      </c>
      <c r="P33">
        <v>9</v>
      </c>
      <c r="Q33">
        <v>6.8</v>
      </c>
      <c r="R33">
        <v>6.9</v>
      </c>
      <c r="S33" t="s">
        <v>27</v>
      </c>
      <c r="AN33" s="5">
        <v>3.6</v>
      </c>
      <c r="AO33" s="11">
        <v>5.2</v>
      </c>
    </row>
    <row r="34" spans="1:41" ht="72.5" x14ac:dyDescent="0.35">
      <c r="A34" t="s">
        <v>146</v>
      </c>
      <c r="B34">
        <v>22</v>
      </c>
      <c r="C34" t="s">
        <v>20</v>
      </c>
      <c r="D34" t="s">
        <v>35</v>
      </c>
      <c r="E34" t="s">
        <v>36</v>
      </c>
      <c r="F34" t="s">
        <v>49</v>
      </c>
      <c r="G34" s="1" t="s">
        <v>79</v>
      </c>
      <c r="H34" s="3">
        <v>507</v>
      </c>
      <c r="I34" t="s">
        <v>51</v>
      </c>
      <c r="J34" t="s">
        <v>119</v>
      </c>
      <c r="K34">
        <v>1.9</v>
      </c>
      <c r="L34" s="1" t="s">
        <v>147</v>
      </c>
      <c r="M34" s="2">
        <v>0</v>
      </c>
      <c r="N34">
        <v>4.5999999999999996</v>
      </c>
      <c r="O34">
        <v>3</v>
      </c>
      <c r="P34">
        <v>4</v>
      </c>
      <c r="Q34">
        <v>2</v>
      </c>
      <c r="R34">
        <v>4.0999999999999996</v>
      </c>
      <c r="S34" t="s">
        <v>27</v>
      </c>
      <c r="AN34" s="5">
        <v>3.7</v>
      </c>
      <c r="AO34" s="11">
        <v>7.2249999999999996</v>
      </c>
    </row>
    <row r="35" spans="1:41" ht="29" x14ac:dyDescent="0.35">
      <c r="A35" t="s">
        <v>148</v>
      </c>
      <c r="B35">
        <v>18</v>
      </c>
      <c r="C35" t="s">
        <v>48</v>
      </c>
      <c r="D35" t="s">
        <v>61</v>
      </c>
      <c r="E35" t="s">
        <v>36</v>
      </c>
      <c r="F35" t="s">
        <v>49</v>
      </c>
      <c r="G35" s="1" t="s">
        <v>149</v>
      </c>
      <c r="H35" s="3">
        <v>0</v>
      </c>
      <c r="I35" t="s">
        <v>178</v>
      </c>
      <c r="J35" t="s">
        <v>119</v>
      </c>
      <c r="K35">
        <v>1.6</v>
      </c>
      <c r="M35" s="2">
        <v>0</v>
      </c>
      <c r="N35">
        <v>3.3</v>
      </c>
      <c r="O35">
        <v>4</v>
      </c>
      <c r="P35">
        <v>5</v>
      </c>
      <c r="Q35">
        <v>4.3</v>
      </c>
      <c r="R35">
        <v>3.2</v>
      </c>
      <c r="S35" t="s">
        <v>27</v>
      </c>
      <c r="AN35" s="5">
        <v>3.8</v>
      </c>
      <c r="AO35" s="11">
        <v>8.1999999999999993</v>
      </c>
    </row>
    <row r="36" spans="1:41" ht="58" x14ac:dyDescent="0.35">
      <c r="A36" t="s">
        <v>150</v>
      </c>
      <c r="B36">
        <v>16</v>
      </c>
      <c r="C36" t="s">
        <v>20</v>
      </c>
      <c r="D36" t="s">
        <v>748</v>
      </c>
      <c r="E36" t="s">
        <v>36</v>
      </c>
      <c r="F36" t="s">
        <v>49</v>
      </c>
      <c r="H36" s="3">
        <v>63</v>
      </c>
      <c r="I36" t="s">
        <v>51</v>
      </c>
      <c r="J36" t="s">
        <v>76</v>
      </c>
      <c r="K36">
        <v>1.9</v>
      </c>
      <c r="L36" s="1" t="s">
        <v>151</v>
      </c>
      <c r="M36" s="2">
        <v>0</v>
      </c>
      <c r="N36">
        <v>3.5</v>
      </c>
      <c r="O36">
        <v>3</v>
      </c>
      <c r="P36">
        <v>5</v>
      </c>
      <c r="Q36">
        <v>3</v>
      </c>
      <c r="R36">
        <v>5.4</v>
      </c>
      <c r="S36" t="s">
        <v>46</v>
      </c>
      <c r="AN36" s="5">
        <v>3.9</v>
      </c>
      <c r="AO36" s="11">
        <v>8.48</v>
      </c>
    </row>
    <row r="37" spans="1:41" ht="72.5" x14ac:dyDescent="0.35">
      <c r="A37" t="s">
        <v>152</v>
      </c>
      <c r="B37">
        <v>45</v>
      </c>
      <c r="C37" t="s">
        <v>748</v>
      </c>
      <c r="D37" t="s">
        <v>74</v>
      </c>
      <c r="E37" t="s">
        <v>22</v>
      </c>
      <c r="F37" t="s">
        <v>23</v>
      </c>
      <c r="G37" s="1" t="s">
        <v>153</v>
      </c>
      <c r="H37" s="3">
        <v>887</v>
      </c>
      <c r="J37" t="s">
        <v>39</v>
      </c>
      <c r="K37">
        <v>1.5</v>
      </c>
      <c r="L37" s="1" t="s">
        <v>154</v>
      </c>
      <c r="M37" s="2">
        <v>0</v>
      </c>
      <c r="N37">
        <v>5.3</v>
      </c>
      <c r="O37">
        <v>3</v>
      </c>
      <c r="P37">
        <v>5</v>
      </c>
      <c r="Q37">
        <v>5.3</v>
      </c>
      <c r="R37">
        <v>6.4</v>
      </c>
      <c r="S37" t="s">
        <v>46</v>
      </c>
      <c r="AN37" s="5">
        <v>4</v>
      </c>
      <c r="AO37" s="11">
        <v>6.8000000000000007</v>
      </c>
    </row>
    <row r="38" spans="1:41" ht="58" x14ac:dyDescent="0.35">
      <c r="A38" t="s">
        <v>155</v>
      </c>
      <c r="B38">
        <v>30</v>
      </c>
      <c r="C38" t="s">
        <v>20</v>
      </c>
      <c r="D38" t="s">
        <v>96</v>
      </c>
      <c r="E38" t="s">
        <v>22</v>
      </c>
      <c r="F38" t="s">
        <v>23</v>
      </c>
      <c r="G38" s="1" t="s">
        <v>156</v>
      </c>
      <c r="H38" s="3">
        <v>1699</v>
      </c>
      <c r="I38" t="s">
        <v>51</v>
      </c>
      <c r="J38" t="s">
        <v>55</v>
      </c>
      <c r="K38">
        <v>5.5</v>
      </c>
      <c r="L38" s="1" t="s">
        <v>157</v>
      </c>
      <c r="M38" s="2">
        <v>10</v>
      </c>
      <c r="O38">
        <v>4</v>
      </c>
      <c r="P38">
        <v>8</v>
      </c>
      <c r="Q38">
        <v>6.5</v>
      </c>
      <c r="R38">
        <v>7.5</v>
      </c>
      <c r="S38" t="s">
        <v>27</v>
      </c>
      <c r="AN38" s="5">
        <v>4.0999999999999996</v>
      </c>
      <c r="AO38" s="11">
        <v>7.92</v>
      </c>
    </row>
    <row r="39" spans="1:41" ht="87" x14ac:dyDescent="0.35">
      <c r="A39" t="s">
        <v>158</v>
      </c>
      <c r="B39">
        <v>43</v>
      </c>
      <c r="C39" t="s">
        <v>20</v>
      </c>
      <c r="D39" t="s">
        <v>42</v>
      </c>
      <c r="E39" t="s">
        <v>22</v>
      </c>
      <c r="F39" t="s">
        <v>787</v>
      </c>
      <c r="G39" s="1" t="s">
        <v>159</v>
      </c>
      <c r="I39" t="s">
        <v>38</v>
      </c>
      <c r="J39" t="s">
        <v>39</v>
      </c>
      <c r="K39">
        <v>0.6</v>
      </c>
      <c r="L39" s="1" t="s">
        <v>160</v>
      </c>
      <c r="M39" s="2">
        <v>20</v>
      </c>
      <c r="N39">
        <v>4</v>
      </c>
      <c r="O39">
        <v>2</v>
      </c>
      <c r="P39">
        <v>5</v>
      </c>
      <c r="Q39">
        <v>0</v>
      </c>
      <c r="R39">
        <v>10.1</v>
      </c>
      <c r="S39" t="s">
        <v>46</v>
      </c>
      <c r="AN39" s="5">
        <v>4.2</v>
      </c>
      <c r="AO39" s="11">
        <v>5.6</v>
      </c>
    </row>
    <row r="40" spans="1:41" ht="72.5" x14ac:dyDescent="0.35">
      <c r="A40" t="s">
        <v>161</v>
      </c>
      <c r="B40">
        <v>29</v>
      </c>
      <c r="C40" t="s">
        <v>20</v>
      </c>
      <c r="D40" t="s">
        <v>29</v>
      </c>
      <c r="E40" t="s">
        <v>22</v>
      </c>
      <c r="F40" t="s">
        <v>30</v>
      </c>
      <c r="G40" s="1" t="s">
        <v>162</v>
      </c>
      <c r="H40" s="3">
        <v>5260</v>
      </c>
      <c r="I40" t="s">
        <v>38</v>
      </c>
      <c r="J40" t="s">
        <v>71</v>
      </c>
      <c r="K40">
        <v>1.6</v>
      </c>
      <c r="L40" s="1" t="s">
        <v>163</v>
      </c>
      <c r="M40" s="2">
        <v>0</v>
      </c>
      <c r="N40">
        <v>3.9</v>
      </c>
      <c r="O40">
        <v>4</v>
      </c>
      <c r="P40">
        <v>5</v>
      </c>
      <c r="Q40">
        <v>5.2</v>
      </c>
      <c r="R40">
        <v>6.7</v>
      </c>
      <c r="AN40" s="5">
        <v>4.3</v>
      </c>
      <c r="AO40" s="11">
        <v>6.5333333333333341</v>
      </c>
    </row>
    <row r="41" spans="1:41" ht="72.5" x14ac:dyDescent="0.35">
      <c r="A41" t="s">
        <v>164</v>
      </c>
      <c r="B41">
        <v>36</v>
      </c>
      <c r="C41" t="s">
        <v>48</v>
      </c>
      <c r="D41" t="s">
        <v>74</v>
      </c>
      <c r="E41" t="s">
        <v>22</v>
      </c>
      <c r="F41" t="s">
        <v>23</v>
      </c>
      <c r="G41" s="1" t="s">
        <v>165</v>
      </c>
      <c r="H41" s="3">
        <v>513</v>
      </c>
      <c r="I41" t="s">
        <v>38</v>
      </c>
      <c r="J41" t="s">
        <v>39</v>
      </c>
      <c r="K41">
        <v>3.7</v>
      </c>
      <c r="L41" s="1" t="s">
        <v>166</v>
      </c>
      <c r="M41" s="2">
        <v>0</v>
      </c>
      <c r="N41">
        <v>5.7</v>
      </c>
      <c r="O41">
        <v>2</v>
      </c>
      <c r="P41">
        <v>5</v>
      </c>
      <c r="Q41">
        <v>5.8</v>
      </c>
      <c r="R41">
        <v>10.1</v>
      </c>
      <c r="S41" t="s">
        <v>46</v>
      </c>
      <c r="AN41" s="5">
        <v>4.4000000000000004</v>
      </c>
      <c r="AO41" s="11">
        <v>7.95</v>
      </c>
    </row>
    <row r="42" spans="1:41" ht="58" x14ac:dyDescent="0.35">
      <c r="A42" t="s">
        <v>167</v>
      </c>
      <c r="B42">
        <v>24</v>
      </c>
      <c r="C42" t="s">
        <v>748</v>
      </c>
      <c r="D42" t="s">
        <v>96</v>
      </c>
      <c r="E42" t="s">
        <v>22</v>
      </c>
      <c r="F42" t="s">
        <v>30</v>
      </c>
      <c r="G42" s="1" t="s">
        <v>83</v>
      </c>
      <c r="H42" s="3">
        <v>2307</v>
      </c>
      <c r="I42" t="s">
        <v>116</v>
      </c>
      <c r="J42" t="s">
        <v>39</v>
      </c>
      <c r="K42">
        <v>0.6</v>
      </c>
      <c r="L42" s="1" t="s">
        <v>168</v>
      </c>
      <c r="M42" s="2">
        <v>0</v>
      </c>
      <c r="N42">
        <v>4.4000000000000004</v>
      </c>
      <c r="O42">
        <v>4</v>
      </c>
      <c r="P42">
        <v>7</v>
      </c>
      <c r="Q42">
        <v>1.6</v>
      </c>
      <c r="R42">
        <v>12</v>
      </c>
      <c r="S42" t="s">
        <v>27</v>
      </c>
      <c r="AN42" s="5">
        <v>4.5</v>
      </c>
      <c r="AO42" s="11">
        <v>5.5</v>
      </c>
    </row>
    <row r="43" spans="1:41" ht="58" x14ac:dyDescent="0.35">
      <c r="A43" t="s">
        <v>169</v>
      </c>
      <c r="B43">
        <v>17</v>
      </c>
      <c r="C43" t="s">
        <v>20</v>
      </c>
      <c r="D43" t="s">
        <v>42</v>
      </c>
      <c r="E43" t="s">
        <v>36</v>
      </c>
      <c r="F43" t="s">
        <v>49</v>
      </c>
      <c r="H43" s="3">
        <v>234</v>
      </c>
      <c r="I43" t="s">
        <v>38</v>
      </c>
      <c r="J43" t="s">
        <v>119</v>
      </c>
      <c r="K43">
        <v>5.0999999999999996</v>
      </c>
      <c r="L43" s="1" t="s">
        <v>170</v>
      </c>
      <c r="M43" s="2">
        <v>0</v>
      </c>
      <c r="N43">
        <v>8.3000000000000007</v>
      </c>
      <c r="O43">
        <v>5</v>
      </c>
      <c r="P43">
        <v>9</v>
      </c>
      <c r="Q43">
        <v>11.4</v>
      </c>
      <c r="R43">
        <v>7.2</v>
      </c>
      <c r="S43" t="s">
        <v>27</v>
      </c>
      <c r="AN43" s="5">
        <v>4.5999999999999996</v>
      </c>
      <c r="AO43" s="11">
        <v>9.6999999999999993</v>
      </c>
    </row>
    <row r="44" spans="1:41" ht="43.5" x14ac:dyDescent="0.35">
      <c r="A44" t="s">
        <v>171</v>
      </c>
      <c r="B44">
        <v>20</v>
      </c>
      <c r="C44" t="s">
        <v>48</v>
      </c>
      <c r="D44" t="s">
        <v>96</v>
      </c>
      <c r="E44" t="s">
        <v>36</v>
      </c>
      <c r="F44" t="s">
        <v>62</v>
      </c>
      <c r="G44" s="1" t="s">
        <v>37</v>
      </c>
      <c r="H44" s="3">
        <v>206</v>
      </c>
      <c r="I44" t="s">
        <v>178</v>
      </c>
      <c r="J44" t="s">
        <v>39</v>
      </c>
      <c r="K44">
        <v>2.4</v>
      </c>
      <c r="L44" s="1" t="s">
        <v>172</v>
      </c>
      <c r="M44" s="2">
        <v>20</v>
      </c>
      <c r="N44">
        <v>5.5</v>
      </c>
      <c r="O44">
        <v>3</v>
      </c>
      <c r="P44">
        <v>5</v>
      </c>
      <c r="Q44">
        <v>7.3</v>
      </c>
      <c r="R44">
        <v>8.6</v>
      </c>
      <c r="S44" t="s">
        <v>27</v>
      </c>
      <c r="AN44" s="5">
        <v>4.8</v>
      </c>
      <c r="AO44" s="11">
        <v>5.7</v>
      </c>
    </row>
    <row r="45" spans="1:41" ht="72.5" x14ac:dyDescent="0.35">
      <c r="A45" t="s">
        <v>173</v>
      </c>
      <c r="B45">
        <v>44</v>
      </c>
      <c r="C45" t="s">
        <v>20</v>
      </c>
      <c r="D45" t="s">
        <v>103</v>
      </c>
      <c r="E45" t="s">
        <v>22</v>
      </c>
      <c r="F45" t="s">
        <v>23</v>
      </c>
      <c r="G45" s="1" t="s">
        <v>174</v>
      </c>
      <c r="H45" s="3">
        <v>384</v>
      </c>
      <c r="I45" t="s">
        <v>449</v>
      </c>
      <c r="J45" t="s">
        <v>76</v>
      </c>
      <c r="K45">
        <v>0.9</v>
      </c>
      <c r="L45" s="1" t="s">
        <v>175</v>
      </c>
      <c r="M45" s="2">
        <v>10</v>
      </c>
      <c r="N45">
        <v>3.1</v>
      </c>
      <c r="O45">
        <v>3</v>
      </c>
      <c r="P45">
        <v>4</v>
      </c>
      <c r="Q45">
        <v>1.2</v>
      </c>
      <c r="R45">
        <v>7.9</v>
      </c>
      <c r="S45" t="s">
        <v>40</v>
      </c>
      <c r="AN45" s="5">
        <v>4.9000000000000004</v>
      </c>
      <c r="AO45" s="11">
        <v>9.18</v>
      </c>
    </row>
    <row r="46" spans="1:41" ht="58" x14ac:dyDescent="0.35">
      <c r="A46" t="s">
        <v>176</v>
      </c>
      <c r="B46">
        <v>21</v>
      </c>
      <c r="C46" t="s">
        <v>48</v>
      </c>
      <c r="D46" t="s">
        <v>21</v>
      </c>
      <c r="E46" t="s">
        <v>36</v>
      </c>
      <c r="F46" t="s">
        <v>23</v>
      </c>
      <c r="G46" s="1" t="s">
        <v>177</v>
      </c>
      <c r="H46" s="3">
        <v>206</v>
      </c>
      <c r="I46" t="s">
        <v>178</v>
      </c>
      <c r="J46" t="s">
        <v>39</v>
      </c>
      <c r="K46">
        <v>9.1</v>
      </c>
      <c r="L46" s="1" t="s">
        <v>179</v>
      </c>
      <c r="M46" s="2">
        <v>30</v>
      </c>
      <c r="N46">
        <v>6.5</v>
      </c>
      <c r="O46">
        <v>3</v>
      </c>
      <c r="P46">
        <v>8</v>
      </c>
      <c r="Q46">
        <v>14.9</v>
      </c>
      <c r="R46">
        <v>5.4</v>
      </c>
      <c r="S46" t="s">
        <v>27</v>
      </c>
      <c r="AN46" s="5">
        <v>5</v>
      </c>
      <c r="AO46" s="21">
        <v>11.066666666666668</v>
      </c>
    </row>
    <row r="47" spans="1:41" ht="72.5" x14ac:dyDescent="0.35">
      <c r="A47" t="s">
        <v>180</v>
      </c>
      <c r="B47">
        <v>34</v>
      </c>
      <c r="C47" t="s">
        <v>20</v>
      </c>
      <c r="D47" t="s">
        <v>29</v>
      </c>
      <c r="E47" t="s">
        <v>22</v>
      </c>
      <c r="F47" t="s">
        <v>23</v>
      </c>
      <c r="G47" s="1" t="s">
        <v>181</v>
      </c>
      <c r="H47" s="3">
        <v>5669</v>
      </c>
      <c r="I47" t="s">
        <v>38</v>
      </c>
      <c r="J47" t="s">
        <v>71</v>
      </c>
      <c r="K47">
        <v>8</v>
      </c>
      <c r="L47" s="1" t="s">
        <v>182</v>
      </c>
      <c r="M47" s="2">
        <v>0</v>
      </c>
      <c r="N47">
        <v>7.3</v>
      </c>
      <c r="O47">
        <v>2</v>
      </c>
      <c r="P47">
        <v>7</v>
      </c>
      <c r="Q47">
        <v>16.3</v>
      </c>
      <c r="R47">
        <v>7.4</v>
      </c>
      <c r="S47" t="s">
        <v>27</v>
      </c>
      <c r="AN47" s="5">
        <v>5.0999999999999996</v>
      </c>
      <c r="AO47" s="21">
        <v>11.4</v>
      </c>
    </row>
    <row r="48" spans="1:41" ht="58" x14ac:dyDescent="0.35">
      <c r="A48" t="s">
        <v>183</v>
      </c>
      <c r="B48">
        <v>18</v>
      </c>
      <c r="C48" t="s">
        <v>48</v>
      </c>
      <c r="D48" t="s">
        <v>61</v>
      </c>
      <c r="E48" t="s">
        <v>36</v>
      </c>
      <c r="F48" t="s">
        <v>62</v>
      </c>
      <c r="G48" s="1" t="s">
        <v>97</v>
      </c>
      <c r="H48" s="3">
        <v>198</v>
      </c>
      <c r="I48" t="s">
        <v>51</v>
      </c>
      <c r="J48" t="s">
        <v>71</v>
      </c>
      <c r="L48" s="1" t="s">
        <v>184</v>
      </c>
      <c r="M48" s="2">
        <v>0</v>
      </c>
      <c r="N48">
        <v>6.9</v>
      </c>
      <c r="O48">
        <v>2</v>
      </c>
      <c r="P48">
        <v>6</v>
      </c>
      <c r="Q48">
        <v>7.2</v>
      </c>
      <c r="R48">
        <v>7.2</v>
      </c>
      <c r="S48" t="s">
        <v>46</v>
      </c>
      <c r="AN48" s="5">
        <v>5.2</v>
      </c>
      <c r="AO48" s="21">
        <v>12.1</v>
      </c>
    </row>
    <row r="49" spans="1:41" ht="58" x14ac:dyDescent="0.35">
      <c r="A49" t="s">
        <v>185</v>
      </c>
      <c r="C49" t="s">
        <v>20</v>
      </c>
      <c r="D49" t="s">
        <v>61</v>
      </c>
      <c r="E49" t="s">
        <v>36</v>
      </c>
      <c r="F49" t="s">
        <v>30</v>
      </c>
      <c r="H49" s="3">
        <v>190</v>
      </c>
      <c r="I49" t="s">
        <v>38</v>
      </c>
      <c r="J49" t="s">
        <v>76</v>
      </c>
      <c r="K49">
        <v>7.7</v>
      </c>
      <c r="L49" s="1" t="s">
        <v>186</v>
      </c>
      <c r="N49">
        <v>8.4</v>
      </c>
      <c r="O49">
        <v>5</v>
      </c>
      <c r="P49">
        <v>10</v>
      </c>
      <c r="Q49">
        <v>13.6</v>
      </c>
      <c r="R49">
        <v>6.8</v>
      </c>
      <c r="S49" t="s">
        <v>27</v>
      </c>
      <c r="AN49" s="5">
        <v>5.3</v>
      </c>
      <c r="AO49" s="21">
        <v>10.7</v>
      </c>
    </row>
    <row r="50" spans="1:41" ht="87" x14ac:dyDescent="0.35">
      <c r="A50" t="s">
        <v>187</v>
      </c>
      <c r="B50">
        <v>32</v>
      </c>
      <c r="C50" t="s">
        <v>195</v>
      </c>
      <c r="D50" t="s">
        <v>103</v>
      </c>
      <c r="E50" t="s">
        <v>22</v>
      </c>
      <c r="F50" t="s">
        <v>62</v>
      </c>
      <c r="G50" s="1" t="s">
        <v>188</v>
      </c>
      <c r="H50" s="3">
        <v>376</v>
      </c>
      <c r="I50" t="s">
        <v>68</v>
      </c>
      <c r="J50" t="s">
        <v>64</v>
      </c>
      <c r="K50">
        <v>1.3</v>
      </c>
      <c r="L50" s="1" t="s">
        <v>189</v>
      </c>
      <c r="M50" s="2">
        <v>20</v>
      </c>
      <c r="N50">
        <v>3.3</v>
      </c>
      <c r="O50">
        <v>4</v>
      </c>
      <c r="P50">
        <v>5</v>
      </c>
      <c r="Q50">
        <v>3.2</v>
      </c>
      <c r="R50">
        <v>11.6</v>
      </c>
      <c r="S50" t="s">
        <v>46</v>
      </c>
      <c r="AN50" s="5">
        <v>5.4</v>
      </c>
      <c r="AO50" s="21">
        <v>10.200000000000001</v>
      </c>
    </row>
    <row r="51" spans="1:41" ht="58" x14ac:dyDescent="0.35">
      <c r="A51" t="s">
        <v>190</v>
      </c>
      <c r="B51">
        <v>44</v>
      </c>
      <c r="C51" t="s">
        <v>195</v>
      </c>
      <c r="D51" t="s">
        <v>191</v>
      </c>
      <c r="E51" t="s">
        <v>22</v>
      </c>
      <c r="F51" t="s">
        <v>30</v>
      </c>
      <c r="G51" s="1" t="s">
        <v>192</v>
      </c>
      <c r="H51" s="3">
        <v>3477</v>
      </c>
      <c r="I51" t="s">
        <v>38</v>
      </c>
      <c r="J51" t="s">
        <v>64</v>
      </c>
      <c r="K51">
        <v>2.2000000000000002</v>
      </c>
      <c r="L51" s="1" t="s">
        <v>193</v>
      </c>
      <c r="M51" s="2">
        <v>0</v>
      </c>
      <c r="N51">
        <v>5</v>
      </c>
      <c r="O51">
        <v>4</v>
      </c>
      <c r="Q51">
        <v>2.8</v>
      </c>
      <c r="R51">
        <v>10.7</v>
      </c>
      <c r="S51" t="s">
        <v>27</v>
      </c>
      <c r="AN51" s="5">
        <v>5.5</v>
      </c>
      <c r="AO51" s="21">
        <v>9.5500000000000007</v>
      </c>
    </row>
    <row r="52" spans="1:41" ht="43.5" x14ac:dyDescent="0.35">
      <c r="A52" t="s">
        <v>194</v>
      </c>
      <c r="C52" t="s">
        <v>748</v>
      </c>
      <c r="D52" t="s">
        <v>74</v>
      </c>
      <c r="E52" t="s">
        <v>36</v>
      </c>
      <c r="F52" t="s">
        <v>49</v>
      </c>
      <c r="G52" s="1" t="s">
        <v>97</v>
      </c>
      <c r="H52" s="3">
        <v>100</v>
      </c>
      <c r="I52" t="s">
        <v>38</v>
      </c>
      <c r="J52" t="s">
        <v>71</v>
      </c>
      <c r="K52">
        <v>1.2</v>
      </c>
      <c r="L52" s="1" t="s">
        <v>196</v>
      </c>
      <c r="M52" s="2">
        <v>50</v>
      </c>
      <c r="N52">
        <v>5.8</v>
      </c>
      <c r="O52">
        <v>4</v>
      </c>
      <c r="P52">
        <v>7</v>
      </c>
      <c r="R52">
        <v>5.7</v>
      </c>
      <c r="S52" t="s">
        <v>27</v>
      </c>
      <c r="AN52" s="5">
        <v>5.7</v>
      </c>
      <c r="AO52" s="21">
        <v>12.6</v>
      </c>
    </row>
    <row r="53" spans="1:41" ht="58" x14ac:dyDescent="0.35">
      <c r="A53" t="s">
        <v>197</v>
      </c>
      <c r="B53">
        <v>26</v>
      </c>
      <c r="C53" t="s">
        <v>48</v>
      </c>
      <c r="D53" t="s">
        <v>103</v>
      </c>
      <c r="E53" t="s">
        <v>36</v>
      </c>
      <c r="F53" t="s">
        <v>62</v>
      </c>
      <c r="G53" s="1" t="s">
        <v>37</v>
      </c>
      <c r="H53" s="3">
        <v>0</v>
      </c>
      <c r="I53" t="s">
        <v>38</v>
      </c>
      <c r="J53" t="s">
        <v>39</v>
      </c>
      <c r="K53">
        <v>0.6</v>
      </c>
      <c r="L53" s="1" t="s">
        <v>198</v>
      </c>
      <c r="M53" s="2">
        <v>0</v>
      </c>
      <c r="N53">
        <v>3.2</v>
      </c>
      <c r="O53">
        <v>2</v>
      </c>
      <c r="P53">
        <v>5</v>
      </c>
      <c r="Q53">
        <v>2.2000000000000002</v>
      </c>
      <c r="R53">
        <v>8.8000000000000007</v>
      </c>
      <c r="S53" t="s">
        <v>27</v>
      </c>
      <c r="AN53" s="5">
        <v>5.8</v>
      </c>
      <c r="AO53" s="21">
        <v>11.85</v>
      </c>
    </row>
    <row r="54" spans="1:41" ht="72.5" x14ac:dyDescent="0.35">
      <c r="A54" t="s">
        <v>199</v>
      </c>
      <c r="B54">
        <v>33</v>
      </c>
      <c r="C54" t="s">
        <v>20</v>
      </c>
      <c r="D54" t="s">
        <v>82</v>
      </c>
      <c r="E54" t="s">
        <v>22</v>
      </c>
      <c r="F54" t="s">
        <v>104</v>
      </c>
      <c r="G54" s="1" t="s">
        <v>200</v>
      </c>
      <c r="H54" s="3">
        <v>6197</v>
      </c>
      <c r="I54" t="s">
        <v>38</v>
      </c>
      <c r="J54" t="s">
        <v>71</v>
      </c>
      <c r="K54">
        <v>1.9</v>
      </c>
      <c r="L54" s="1" t="s">
        <v>201</v>
      </c>
      <c r="N54">
        <v>5.4</v>
      </c>
      <c r="O54">
        <v>4</v>
      </c>
      <c r="P54">
        <v>7</v>
      </c>
      <c r="Q54">
        <v>6</v>
      </c>
      <c r="R54">
        <v>11</v>
      </c>
      <c r="S54" t="s">
        <v>27</v>
      </c>
      <c r="AN54" s="5">
        <v>5.9</v>
      </c>
      <c r="AO54" s="21">
        <v>11.166666666666666</v>
      </c>
    </row>
    <row r="55" spans="1:41" ht="72.5" x14ac:dyDescent="0.35">
      <c r="A55" t="s">
        <v>202</v>
      </c>
      <c r="B55">
        <v>31</v>
      </c>
      <c r="C55" t="s">
        <v>20</v>
      </c>
      <c r="D55" t="s">
        <v>82</v>
      </c>
      <c r="E55" t="s">
        <v>22</v>
      </c>
      <c r="F55" t="s">
        <v>30</v>
      </c>
      <c r="G55" s="1" t="s">
        <v>31</v>
      </c>
      <c r="H55" s="3">
        <v>5355</v>
      </c>
      <c r="I55" t="s">
        <v>178</v>
      </c>
      <c r="J55" t="s">
        <v>32</v>
      </c>
      <c r="K55">
        <v>4.5999999999999996</v>
      </c>
      <c r="L55" s="1" t="s">
        <v>203</v>
      </c>
      <c r="M55" s="2">
        <v>0</v>
      </c>
      <c r="N55">
        <v>8.8000000000000007</v>
      </c>
      <c r="O55">
        <v>2</v>
      </c>
      <c r="P55">
        <v>6</v>
      </c>
      <c r="Q55">
        <v>11.5</v>
      </c>
      <c r="R55">
        <v>8.6999999999999993</v>
      </c>
      <c r="S55" t="s">
        <v>27</v>
      </c>
      <c r="AN55" s="5">
        <v>6</v>
      </c>
      <c r="AO55" s="21">
        <v>13.1</v>
      </c>
    </row>
    <row r="56" spans="1:41" ht="58" x14ac:dyDescent="0.35">
      <c r="A56" t="s">
        <v>204</v>
      </c>
      <c r="B56">
        <v>22</v>
      </c>
      <c r="C56" t="s">
        <v>20</v>
      </c>
      <c r="D56" t="s">
        <v>42</v>
      </c>
      <c r="E56" t="s">
        <v>36</v>
      </c>
      <c r="F56" t="s">
        <v>62</v>
      </c>
      <c r="G56" s="1" t="s">
        <v>79</v>
      </c>
      <c r="H56" s="3">
        <v>86</v>
      </c>
      <c r="I56" t="s">
        <v>178</v>
      </c>
      <c r="J56" t="s">
        <v>119</v>
      </c>
      <c r="K56">
        <v>1.4</v>
      </c>
      <c r="L56" s="1" t="s">
        <v>205</v>
      </c>
      <c r="M56" s="2">
        <v>0</v>
      </c>
      <c r="N56">
        <v>1.9</v>
      </c>
      <c r="O56">
        <v>3</v>
      </c>
      <c r="P56">
        <v>5</v>
      </c>
      <c r="Q56">
        <v>1.7</v>
      </c>
      <c r="S56" t="s">
        <v>27</v>
      </c>
      <c r="AN56" s="5">
        <v>6.1</v>
      </c>
      <c r="AO56" s="21">
        <v>8.9</v>
      </c>
    </row>
    <row r="57" spans="1:41" ht="72.5" x14ac:dyDescent="0.35">
      <c r="A57" t="s">
        <v>206</v>
      </c>
      <c r="B57">
        <v>21</v>
      </c>
      <c r="C57" t="s">
        <v>20</v>
      </c>
      <c r="D57" t="s">
        <v>74</v>
      </c>
      <c r="E57" t="s">
        <v>36</v>
      </c>
      <c r="F57" t="s">
        <v>62</v>
      </c>
      <c r="G57" s="1" t="s">
        <v>207</v>
      </c>
      <c r="H57" s="3">
        <v>62</v>
      </c>
      <c r="I57" t="s">
        <v>38</v>
      </c>
      <c r="J57" t="s">
        <v>64</v>
      </c>
      <c r="K57">
        <v>7.2</v>
      </c>
      <c r="L57" s="1" t="s">
        <v>208</v>
      </c>
      <c r="M57" s="2">
        <v>10</v>
      </c>
      <c r="N57">
        <v>6.8</v>
      </c>
      <c r="O57">
        <v>4</v>
      </c>
      <c r="P57">
        <v>7</v>
      </c>
      <c r="Q57">
        <v>13.2</v>
      </c>
      <c r="R57">
        <v>6.1</v>
      </c>
      <c r="S57" t="s">
        <v>27</v>
      </c>
      <c r="AN57" s="5">
        <v>6.3</v>
      </c>
      <c r="AO57" s="21">
        <v>10</v>
      </c>
    </row>
    <row r="58" spans="1:41" ht="58" x14ac:dyDescent="0.35">
      <c r="A58" t="s">
        <v>209</v>
      </c>
      <c r="B58">
        <v>32</v>
      </c>
      <c r="C58" t="s">
        <v>20</v>
      </c>
      <c r="D58" t="s">
        <v>35</v>
      </c>
      <c r="E58" t="s">
        <v>22</v>
      </c>
      <c r="F58" t="s">
        <v>30</v>
      </c>
      <c r="G58" s="1" t="s">
        <v>210</v>
      </c>
      <c r="H58" s="3">
        <v>3337</v>
      </c>
      <c r="I58" t="s">
        <v>38</v>
      </c>
      <c r="K58">
        <v>1.3</v>
      </c>
      <c r="L58" s="1" t="s">
        <v>211</v>
      </c>
      <c r="M58" s="2">
        <v>0</v>
      </c>
      <c r="N58">
        <v>3.8</v>
      </c>
      <c r="O58">
        <v>4</v>
      </c>
      <c r="P58">
        <v>7</v>
      </c>
      <c r="Q58">
        <v>2.9</v>
      </c>
      <c r="R58">
        <v>7.6</v>
      </c>
      <c r="S58" t="s">
        <v>27</v>
      </c>
      <c r="AN58" s="5">
        <v>6.5</v>
      </c>
      <c r="AO58" s="21">
        <v>14.2</v>
      </c>
    </row>
    <row r="59" spans="1:41" ht="58" x14ac:dyDescent="0.35">
      <c r="A59" t="s">
        <v>212</v>
      </c>
      <c r="B59">
        <v>22</v>
      </c>
      <c r="C59" t="s">
        <v>20</v>
      </c>
      <c r="D59" t="s">
        <v>74</v>
      </c>
      <c r="E59" t="s">
        <v>36</v>
      </c>
      <c r="F59" t="s">
        <v>30</v>
      </c>
      <c r="G59" s="1" t="s">
        <v>37</v>
      </c>
      <c r="H59" s="3">
        <v>113</v>
      </c>
      <c r="I59" t="s">
        <v>51</v>
      </c>
      <c r="J59" t="s">
        <v>55</v>
      </c>
      <c r="K59">
        <v>1</v>
      </c>
      <c r="L59" s="1" t="s">
        <v>213</v>
      </c>
      <c r="M59" s="2">
        <v>0</v>
      </c>
      <c r="N59">
        <v>3.2</v>
      </c>
      <c r="O59">
        <v>3</v>
      </c>
      <c r="P59">
        <v>3</v>
      </c>
      <c r="Q59">
        <v>4.2</v>
      </c>
      <c r="R59">
        <v>6.5</v>
      </c>
      <c r="S59" t="s">
        <v>40</v>
      </c>
      <c r="AN59" s="5">
        <v>6.8</v>
      </c>
      <c r="AO59" s="21">
        <v>14.1</v>
      </c>
    </row>
    <row r="60" spans="1:41" ht="29" x14ac:dyDescent="0.35">
      <c r="A60" t="s">
        <v>214</v>
      </c>
      <c r="B60">
        <v>21</v>
      </c>
      <c r="C60" t="s">
        <v>20</v>
      </c>
      <c r="D60" t="s">
        <v>21</v>
      </c>
      <c r="E60" t="s">
        <v>36</v>
      </c>
      <c r="F60" t="s">
        <v>49</v>
      </c>
      <c r="G60" s="1" t="s">
        <v>37</v>
      </c>
      <c r="H60" s="3">
        <v>118</v>
      </c>
      <c r="I60" t="s">
        <v>178</v>
      </c>
      <c r="J60" t="s">
        <v>39</v>
      </c>
      <c r="M60" s="2">
        <v>0</v>
      </c>
      <c r="N60">
        <v>7.6</v>
      </c>
      <c r="O60">
        <v>2</v>
      </c>
      <c r="P60">
        <v>6</v>
      </c>
      <c r="Q60">
        <v>12.4</v>
      </c>
      <c r="R60">
        <v>6.3</v>
      </c>
      <c r="S60" t="s">
        <v>27</v>
      </c>
      <c r="AN60" s="5">
        <v>7</v>
      </c>
      <c r="AO60" s="21">
        <v>12.8</v>
      </c>
    </row>
    <row r="61" spans="1:41" ht="58" x14ac:dyDescent="0.35">
      <c r="A61" t="s">
        <v>215</v>
      </c>
      <c r="B61">
        <v>47</v>
      </c>
      <c r="C61" t="s">
        <v>20</v>
      </c>
      <c r="D61" t="s">
        <v>103</v>
      </c>
      <c r="E61" t="s">
        <v>22</v>
      </c>
      <c r="F61" t="s">
        <v>30</v>
      </c>
      <c r="G61" s="1" t="s">
        <v>216</v>
      </c>
      <c r="H61" s="3">
        <v>1104</v>
      </c>
      <c r="I61" t="s">
        <v>116</v>
      </c>
      <c r="J61" t="s">
        <v>55</v>
      </c>
      <c r="K61">
        <v>3.4</v>
      </c>
      <c r="L61" s="1" t="s">
        <v>217</v>
      </c>
      <c r="M61" s="2">
        <v>20</v>
      </c>
      <c r="N61">
        <v>4.9000000000000004</v>
      </c>
      <c r="O61">
        <v>3</v>
      </c>
      <c r="P61">
        <v>5</v>
      </c>
      <c r="Q61">
        <v>7.4</v>
      </c>
      <c r="R61">
        <v>7.3</v>
      </c>
      <c r="S61" t="s">
        <v>40</v>
      </c>
      <c r="AN61" s="5">
        <v>7.1</v>
      </c>
      <c r="AO61" s="21">
        <v>11.6</v>
      </c>
    </row>
    <row r="62" spans="1:41" ht="58" x14ac:dyDescent="0.35">
      <c r="A62" t="s">
        <v>218</v>
      </c>
      <c r="B62">
        <v>33</v>
      </c>
      <c r="C62" t="s">
        <v>20</v>
      </c>
      <c r="D62" t="s">
        <v>42</v>
      </c>
      <c r="E62" t="s">
        <v>22</v>
      </c>
      <c r="F62" t="s">
        <v>30</v>
      </c>
      <c r="G62" s="1" t="s">
        <v>219</v>
      </c>
      <c r="H62" s="3">
        <v>552</v>
      </c>
      <c r="I62" t="s">
        <v>178</v>
      </c>
      <c r="J62" t="s">
        <v>39</v>
      </c>
      <c r="K62">
        <v>0.5</v>
      </c>
      <c r="L62" s="1" t="s">
        <v>220</v>
      </c>
      <c r="M62" s="2">
        <v>20</v>
      </c>
      <c r="N62">
        <v>2.9</v>
      </c>
      <c r="O62">
        <v>3</v>
      </c>
      <c r="P62">
        <v>5</v>
      </c>
      <c r="Q62">
        <v>0.1</v>
      </c>
      <c r="R62">
        <v>10.199999999999999</v>
      </c>
      <c r="S62" t="s">
        <v>40</v>
      </c>
      <c r="AN62" s="5">
        <v>7.2</v>
      </c>
      <c r="AO62" s="21">
        <v>12.45</v>
      </c>
    </row>
    <row r="63" spans="1:41" ht="72.5" x14ac:dyDescent="0.35">
      <c r="A63" t="s">
        <v>224</v>
      </c>
      <c r="B63">
        <v>23</v>
      </c>
      <c r="C63" t="s">
        <v>48</v>
      </c>
      <c r="D63" t="s">
        <v>21</v>
      </c>
      <c r="E63" t="s">
        <v>36</v>
      </c>
      <c r="F63" t="s">
        <v>23</v>
      </c>
      <c r="G63" s="1" t="s">
        <v>225</v>
      </c>
      <c r="H63" s="3">
        <v>614</v>
      </c>
      <c r="I63" t="s">
        <v>68</v>
      </c>
      <c r="J63" t="s">
        <v>76</v>
      </c>
      <c r="K63">
        <v>1</v>
      </c>
      <c r="L63" s="1" t="s">
        <v>226</v>
      </c>
      <c r="M63" s="2">
        <v>20</v>
      </c>
      <c r="N63">
        <v>2.5</v>
      </c>
      <c r="O63">
        <v>4</v>
      </c>
      <c r="P63">
        <v>6</v>
      </c>
      <c r="Q63">
        <v>0.7</v>
      </c>
      <c r="R63">
        <v>6.6</v>
      </c>
      <c r="S63" t="s">
        <v>46</v>
      </c>
      <c r="AN63" s="5">
        <v>7.4</v>
      </c>
      <c r="AO63" s="21">
        <v>12.3</v>
      </c>
    </row>
    <row r="64" spans="1:41" ht="58" x14ac:dyDescent="0.35">
      <c r="A64" t="s">
        <v>227</v>
      </c>
      <c r="B64">
        <v>37</v>
      </c>
      <c r="C64" t="s">
        <v>195</v>
      </c>
      <c r="D64" t="s">
        <v>96</v>
      </c>
      <c r="E64" t="s">
        <v>22</v>
      </c>
      <c r="F64" t="s">
        <v>104</v>
      </c>
      <c r="G64" s="1" t="s">
        <v>83</v>
      </c>
      <c r="H64" s="3">
        <v>1404</v>
      </c>
      <c r="I64" t="s">
        <v>38</v>
      </c>
      <c r="J64" t="s">
        <v>39</v>
      </c>
      <c r="K64">
        <v>1.7</v>
      </c>
      <c r="L64" s="1" t="s">
        <v>228</v>
      </c>
      <c r="N64">
        <v>5.7</v>
      </c>
      <c r="O64">
        <v>5</v>
      </c>
      <c r="P64">
        <v>7</v>
      </c>
      <c r="Q64">
        <v>3.4</v>
      </c>
      <c r="R64">
        <v>6.4</v>
      </c>
      <c r="S64" t="s">
        <v>27</v>
      </c>
      <c r="AN64" s="5">
        <v>7.7</v>
      </c>
      <c r="AO64" s="21">
        <v>13.6</v>
      </c>
    </row>
    <row r="65" spans="1:41" ht="43.5" x14ac:dyDescent="0.35">
      <c r="A65" t="s">
        <v>229</v>
      </c>
      <c r="B65">
        <v>23</v>
      </c>
      <c r="C65" t="s">
        <v>20</v>
      </c>
      <c r="D65" t="s">
        <v>748</v>
      </c>
      <c r="E65" t="s">
        <v>36</v>
      </c>
      <c r="F65" t="s">
        <v>23</v>
      </c>
      <c r="G65" s="1" t="s">
        <v>86</v>
      </c>
      <c r="H65" s="3">
        <v>0</v>
      </c>
      <c r="I65" t="s">
        <v>449</v>
      </c>
      <c r="J65" t="s">
        <v>39</v>
      </c>
      <c r="K65">
        <v>1</v>
      </c>
      <c r="L65" s="1" t="s">
        <v>230</v>
      </c>
      <c r="M65" s="2">
        <v>20</v>
      </c>
      <c r="N65">
        <v>3.3</v>
      </c>
      <c r="O65">
        <v>3</v>
      </c>
      <c r="P65">
        <v>5</v>
      </c>
      <c r="Q65">
        <v>2.6</v>
      </c>
      <c r="R65">
        <v>6.2</v>
      </c>
      <c r="S65" t="s">
        <v>27</v>
      </c>
      <c r="AN65" s="5">
        <v>7.9</v>
      </c>
      <c r="AO65" s="21">
        <v>14.2</v>
      </c>
    </row>
    <row r="66" spans="1:41" ht="58" x14ac:dyDescent="0.35">
      <c r="A66" t="s">
        <v>221</v>
      </c>
      <c r="B66">
        <v>20</v>
      </c>
      <c r="C66" t="s">
        <v>20</v>
      </c>
      <c r="D66" t="s">
        <v>96</v>
      </c>
      <c r="E66" t="s">
        <v>36</v>
      </c>
      <c r="F66" t="s">
        <v>49</v>
      </c>
      <c r="G66" s="1" t="s">
        <v>222</v>
      </c>
      <c r="H66" s="3">
        <v>79</v>
      </c>
      <c r="I66" t="s">
        <v>178</v>
      </c>
      <c r="J66" t="s">
        <v>64</v>
      </c>
      <c r="K66">
        <v>3.5</v>
      </c>
      <c r="L66" s="1" t="s">
        <v>223</v>
      </c>
      <c r="M66" s="2">
        <v>20</v>
      </c>
      <c r="N66">
        <v>4.7</v>
      </c>
      <c r="O66">
        <v>4</v>
      </c>
      <c r="P66">
        <v>7</v>
      </c>
      <c r="Q66">
        <v>8.3000000000000007</v>
      </c>
      <c r="R66">
        <v>6.2</v>
      </c>
      <c r="S66" t="s">
        <v>27</v>
      </c>
      <c r="AN66" s="5">
        <v>8</v>
      </c>
      <c r="AO66" s="21">
        <v>16.05</v>
      </c>
    </row>
    <row r="67" spans="1:41" ht="58" x14ac:dyDescent="0.35">
      <c r="A67" t="s">
        <v>231</v>
      </c>
      <c r="B67">
        <v>20</v>
      </c>
      <c r="C67" t="s">
        <v>48</v>
      </c>
      <c r="D67" t="s">
        <v>21</v>
      </c>
      <c r="E67" t="s">
        <v>36</v>
      </c>
      <c r="F67" t="s">
        <v>49</v>
      </c>
      <c r="G67" s="1" t="s">
        <v>37</v>
      </c>
      <c r="H67" s="3">
        <v>0</v>
      </c>
      <c r="I67" t="s">
        <v>38</v>
      </c>
      <c r="J67" t="s">
        <v>39</v>
      </c>
      <c r="K67">
        <v>1.3</v>
      </c>
      <c r="L67" s="1" t="s">
        <v>232</v>
      </c>
      <c r="M67" s="2">
        <v>0</v>
      </c>
      <c r="N67">
        <v>4.8</v>
      </c>
      <c r="O67">
        <v>4</v>
      </c>
      <c r="P67">
        <v>7</v>
      </c>
      <c r="Q67">
        <v>2.9</v>
      </c>
      <c r="R67">
        <v>8.1</v>
      </c>
      <c r="S67" t="s">
        <v>27</v>
      </c>
      <c r="AN67" s="5">
        <v>8.1</v>
      </c>
      <c r="AO67" s="21">
        <v>16.5</v>
      </c>
    </row>
    <row r="68" spans="1:41" ht="43.5" x14ac:dyDescent="0.35">
      <c r="A68" t="s">
        <v>233</v>
      </c>
      <c r="B68">
        <v>31</v>
      </c>
      <c r="C68" t="s">
        <v>748</v>
      </c>
      <c r="D68" t="s">
        <v>191</v>
      </c>
      <c r="E68" t="s">
        <v>36</v>
      </c>
      <c r="F68" t="s">
        <v>49</v>
      </c>
      <c r="G68" s="1" t="s">
        <v>50</v>
      </c>
      <c r="H68" s="3">
        <v>302</v>
      </c>
      <c r="I68" t="s">
        <v>178</v>
      </c>
      <c r="J68" t="s">
        <v>119</v>
      </c>
      <c r="K68">
        <v>0.7</v>
      </c>
      <c r="L68" s="1" t="s">
        <v>234</v>
      </c>
      <c r="M68" s="2">
        <v>0</v>
      </c>
      <c r="N68">
        <v>3.4</v>
      </c>
      <c r="P68">
        <v>5</v>
      </c>
      <c r="Q68">
        <v>0.8</v>
      </c>
      <c r="R68">
        <v>4.5</v>
      </c>
      <c r="S68" t="s">
        <v>46</v>
      </c>
      <c r="AN68" s="5">
        <v>8.5</v>
      </c>
      <c r="AO68" s="21">
        <v>15.6</v>
      </c>
    </row>
    <row r="69" spans="1:41" ht="87" x14ac:dyDescent="0.35">
      <c r="A69" t="s">
        <v>235</v>
      </c>
      <c r="B69">
        <v>35</v>
      </c>
      <c r="C69" t="s">
        <v>20</v>
      </c>
      <c r="D69" t="s">
        <v>29</v>
      </c>
      <c r="E69" t="s">
        <v>22</v>
      </c>
      <c r="F69" t="s">
        <v>104</v>
      </c>
      <c r="G69" s="1" t="s">
        <v>236</v>
      </c>
      <c r="H69" s="3">
        <v>5966</v>
      </c>
      <c r="I69" t="s">
        <v>38</v>
      </c>
      <c r="J69" t="s">
        <v>25</v>
      </c>
      <c r="K69">
        <v>4.9000000000000004</v>
      </c>
      <c r="L69" s="1" t="s">
        <v>237</v>
      </c>
      <c r="M69" s="2">
        <v>20</v>
      </c>
      <c r="N69">
        <v>5.7</v>
      </c>
      <c r="O69">
        <v>3</v>
      </c>
      <c r="P69">
        <v>5</v>
      </c>
      <c r="Q69">
        <v>11.5</v>
      </c>
      <c r="R69">
        <v>9.3000000000000007</v>
      </c>
      <c r="S69" t="s">
        <v>27</v>
      </c>
      <c r="AN69" s="5">
        <v>8.6</v>
      </c>
      <c r="AO69" s="21">
        <v>17.7</v>
      </c>
    </row>
    <row r="70" spans="1:41" ht="72.5" x14ac:dyDescent="0.35">
      <c r="A70" t="s">
        <v>238</v>
      </c>
      <c r="B70">
        <v>28</v>
      </c>
      <c r="C70" t="s">
        <v>20</v>
      </c>
      <c r="D70" t="s">
        <v>82</v>
      </c>
      <c r="E70" t="s">
        <v>22</v>
      </c>
      <c r="F70" t="s">
        <v>23</v>
      </c>
      <c r="G70" s="1" t="s">
        <v>153</v>
      </c>
      <c r="H70" s="3">
        <v>3610</v>
      </c>
      <c r="I70" t="s">
        <v>178</v>
      </c>
      <c r="J70" t="s">
        <v>39</v>
      </c>
      <c r="K70">
        <v>4.3</v>
      </c>
      <c r="L70" s="1" t="s">
        <v>239</v>
      </c>
      <c r="M70" s="2">
        <v>0</v>
      </c>
      <c r="N70">
        <v>6.1</v>
      </c>
      <c r="O70">
        <v>3</v>
      </c>
      <c r="P70">
        <v>7</v>
      </c>
      <c r="Q70">
        <v>6.7</v>
      </c>
      <c r="R70">
        <v>8.1</v>
      </c>
      <c r="S70" t="s">
        <v>27</v>
      </c>
      <c r="AN70" s="5">
        <v>9.1</v>
      </c>
      <c r="AO70" s="21">
        <v>14.9</v>
      </c>
    </row>
    <row r="71" spans="1:41" ht="72.5" x14ac:dyDescent="0.35">
      <c r="A71" t="s">
        <v>240</v>
      </c>
      <c r="B71">
        <v>22</v>
      </c>
      <c r="C71" t="s">
        <v>195</v>
      </c>
      <c r="D71" t="s">
        <v>103</v>
      </c>
      <c r="E71" t="s">
        <v>22</v>
      </c>
      <c r="F71" t="s">
        <v>23</v>
      </c>
      <c r="G71" s="1" t="s">
        <v>89</v>
      </c>
      <c r="H71" s="3">
        <v>1091</v>
      </c>
      <c r="J71" t="s">
        <v>55</v>
      </c>
      <c r="K71">
        <v>2.4</v>
      </c>
      <c r="L71" s="1" t="s">
        <v>241</v>
      </c>
      <c r="M71" s="2">
        <v>0</v>
      </c>
      <c r="N71">
        <v>5.4</v>
      </c>
      <c r="O71">
        <v>4</v>
      </c>
      <c r="P71">
        <v>5</v>
      </c>
      <c r="Q71">
        <v>2.6</v>
      </c>
      <c r="R71">
        <v>8</v>
      </c>
      <c r="S71" t="s">
        <v>27</v>
      </c>
      <c r="AN71" s="5">
        <v>9.5</v>
      </c>
      <c r="AO71" s="21">
        <v>15.2</v>
      </c>
    </row>
    <row r="72" spans="1:41" ht="43.5" x14ac:dyDescent="0.35">
      <c r="A72" t="s">
        <v>242</v>
      </c>
      <c r="B72">
        <v>22</v>
      </c>
      <c r="C72" t="s">
        <v>48</v>
      </c>
      <c r="D72" t="s">
        <v>96</v>
      </c>
      <c r="E72" t="s">
        <v>36</v>
      </c>
      <c r="F72" t="s">
        <v>49</v>
      </c>
      <c r="G72" s="1" t="s">
        <v>243</v>
      </c>
      <c r="H72" s="3">
        <v>68</v>
      </c>
      <c r="I72" t="s">
        <v>38</v>
      </c>
      <c r="K72">
        <v>0.7</v>
      </c>
      <c r="L72" s="1" t="s">
        <v>244</v>
      </c>
      <c r="M72" s="2">
        <v>0</v>
      </c>
      <c r="N72">
        <v>4.0999999999999996</v>
      </c>
      <c r="O72">
        <v>4</v>
      </c>
      <c r="P72">
        <v>6</v>
      </c>
      <c r="Q72">
        <v>2.1</v>
      </c>
      <c r="R72">
        <v>8.6</v>
      </c>
      <c r="S72" t="s">
        <v>40</v>
      </c>
      <c r="AN72" s="5">
        <v>9.6</v>
      </c>
      <c r="AO72" s="21">
        <v>19.399999999999999</v>
      </c>
    </row>
    <row r="73" spans="1:41" ht="58" x14ac:dyDescent="0.35">
      <c r="A73" t="s">
        <v>245</v>
      </c>
      <c r="C73" t="s">
        <v>48</v>
      </c>
      <c r="D73" t="s">
        <v>103</v>
      </c>
      <c r="E73" t="s">
        <v>36</v>
      </c>
      <c r="F73" t="s">
        <v>30</v>
      </c>
      <c r="G73" s="1" t="s">
        <v>97</v>
      </c>
      <c r="I73" t="s">
        <v>38</v>
      </c>
      <c r="J73" t="s">
        <v>71</v>
      </c>
      <c r="K73">
        <v>2.1</v>
      </c>
      <c r="L73" s="1" t="s">
        <v>246</v>
      </c>
      <c r="M73" s="2">
        <v>0</v>
      </c>
      <c r="N73">
        <v>4.7</v>
      </c>
      <c r="O73">
        <v>5</v>
      </c>
      <c r="P73">
        <v>8</v>
      </c>
      <c r="R73">
        <v>5.9</v>
      </c>
      <c r="S73" t="s">
        <v>27</v>
      </c>
      <c r="AN73" s="5">
        <v>9.6999999999999993</v>
      </c>
      <c r="AO73" s="21">
        <v>17.2</v>
      </c>
    </row>
    <row r="74" spans="1:41" ht="43.5" x14ac:dyDescent="0.35">
      <c r="A74" t="s">
        <v>247</v>
      </c>
      <c r="B74">
        <v>36</v>
      </c>
      <c r="C74" t="s">
        <v>20</v>
      </c>
      <c r="D74" t="s">
        <v>61</v>
      </c>
      <c r="E74" t="s">
        <v>22</v>
      </c>
      <c r="F74" t="s">
        <v>787</v>
      </c>
      <c r="G74" s="1" t="s">
        <v>248</v>
      </c>
      <c r="H74" s="3">
        <v>1378</v>
      </c>
      <c r="I74" t="s">
        <v>51</v>
      </c>
      <c r="J74" t="s">
        <v>39</v>
      </c>
      <c r="K74">
        <v>2.1</v>
      </c>
      <c r="M74" s="2">
        <v>0</v>
      </c>
      <c r="N74">
        <v>3.8</v>
      </c>
      <c r="O74">
        <v>4</v>
      </c>
      <c r="P74">
        <v>5</v>
      </c>
      <c r="Q74">
        <v>2.8</v>
      </c>
      <c r="R74">
        <v>7.8</v>
      </c>
      <c r="S74" t="s">
        <v>27</v>
      </c>
      <c r="AN74" s="5">
        <v>9.8000000000000007</v>
      </c>
      <c r="AO74" s="21">
        <v>15.8</v>
      </c>
    </row>
    <row r="75" spans="1:41" ht="29" x14ac:dyDescent="0.35">
      <c r="A75" t="s">
        <v>249</v>
      </c>
      <c r="B75">
        <v>17</v>
      </c>
      <c r="C75" t="s">
        <v>48</v>
      </c>
      <c r="D75" t="s">
        <v>29</v>
      </c>
      <c r="E75" t="s">
        <v>36</v>
      </c>
      <c r="F75" t="s">
        <v>62</v>
      </c>
      <c r="G75" s="1" t="s">
        <v>250</v>
      </c>
      <c r="H75" s="3">
        <v>884</v>
      </c>
      <c r="J75" t="s">
        <v>76</v>
      </c>
      <c r="K75">
        <v>7</v>
      </c>
      <c r="M75" s="2">
        <v>20</v>
      </c>
      <c r="N75">
        <v>9.6999999999999993</v>
      </c>
      <c r="O75">
        <v>4</v>
      </c>
      <c r="P75">
        <v>10</v>
      </c>
      <c r="Q75">
        <v>12.8</v>
      </c>
      <c r="R75">
        <v>5.8</v>
      </c>
      <c r="S75" t="s">
        <v>27</v>
      </c>
      <c r="AN75" s="5">
        <v>9.9</v>
      </c>
      <c r="AO75" s="21">
        <v>16.2</v>
      </c>
    </row>
    <row r="76" spans="1:41" ht="72.5" x14ac:dyDescent="0.35">
      <c r="A76" t="s">
        <v>251</v>
      </c>
      <c r="B76">
        <v>39</v>
      </c>
      <c r="C76" t="s">
        <v>20</v>
      </c>
      <c r="D76" t="s">
        <v>29</v>
      </c>
      <c r="E76" t="s">
        <v>22</v>
      </c>
      <c r="F76" t="s">
        <v>30</v>
      </c>
      <c r="G76" s="1" t="s">
        <v>89</v>
      </c>
      <c r="H76" s="3">
        <v>3204</v>
      </c>
      <c r="I76" t="s">
        <v>38</v>
      </c>
      <c r="J76" t="s">
        <v>55</v>
      </c>
      <c r="K76">
        <v>2.6</v>
      </c>
      <c r="L76" s="1" t="s">
        <v>252</v>
      </c>
      <c r="M76" s="2">
        <v>0</v>
      </c>
      <c r="O76">
        <v>3</v>
      </c>
      <c r="P76">
        <v>6</v>
      </c>
      <c r="Q76">
        <v>3.6</v>
      </c>
      <c r="R76">
        <v>9.1999999999999993</v>
      </c>
      <c r="S76" t="s">
        <v>27</v>
      </c>
      <c r="AN76" s="5">
        <v>23</v>
      </c>
      <c r="AO76" s="21">
        <v>5.4</v>
      </c>
    </row>
    <row r="77" spans="1:41" ht="29" x14ac:dyDescent="0.35">
      <c r="A77" t="s">
        <v>253</v>
      </c>
      <c r="C77" t="s">
        <v>48</v>
      </c>
      <c r="D77" t="s">
        <v>100</v>
      </c>
      <c r="E77" t="s">
        <v>22</v>
      </c>
      <c r="F77" t="s">
        <v>62</v>
      </c>
      <c r="G77" s="1" t="s">
        <v>236</v>
      </c>
      <c r="H77" s="3">
        <v>557</v>
      </c>
      <c r="I77" t="s">
        <v>38</v>
      </c>
      <c r="J77" t="s">
        <v>25</v>
      </c>
      <c r="K77">
        <v>9.9</v>
      </c>
      <c r="M77" s="2">
        <v>0</v>
      </c>
      <c r="N77">
        <v>8.8000000000000007</v>
      </c>
      <c r="O77">
        <v>5</v>
      </c>
      <c r="P77">
        <v>9</v>
      </c>
      <c r="Q77">
        <v>16.2</v>
      </c>
      <c r="R77">
        <v>8.5</v>
      </c>
      <c r="S77" t="s">
        <v>27</v>
      </c>
      <c r="AN77" s="5" t="s">
        <v>754</v>
      </c>
      <c r="AO77" s="11">
        <v>5.7000000000000011</v>
      </c>
    </row>
    <row r="78" spans="1:41" ht="72.5" x14ac:dyDescent="0.35">
      <c r="A78" t="s">
        <v>254</v>
      </c>
      <c r="B78">
        <v>25</v>
      </c>
      <c r="C78" t="s">
        <v>48</v>
      </c>
      <c r="D78" t="s">
        <v>113</v>
      </c>
      <c r="E78" t="s">
        <v>22</v>
      </c>
      <c r="F78" t="s">
        <v>23</v>
      </c>
      <c r="G78" s="1" t="s">
        <v>255</v>
      </c>
      <c r="H78" s="3">
        <v>6851</v>
      </c>
      <c r="I78" t="s">
        <v>178</v>
      </c>
      <c r="J78" t="s">
        <v>39</v>
      </c>
      <c r="K78">
        <v>4.0999999999999996</v>
      </c>
      <c r="L78" s="1" t="s">
        <v>256</v>
      </c>
      <c r="M78" s="2">
        <v>0</v>
      </c>
      <c r="N78">
        <v>6</v>
      </c>
      <c r="O78">
        <v>4</v>
      </c>
      <c r="P78">
        <v>7</v>
      </c>
      <c r="Q78">
        <v>7.2</v>
      </c>
      <c r="S78" t="s">
        <v>27</v>
      </c>
    </row>
    <row r="79" spans="1:41" ht="72.5" x14ac:dyDescent="0.35">
      <c r="A79" t="s">
        <v>260</v>
      </c>
      <c r="B79">
        <v>34</v>
      </c>
      <c r="C79" t="s">
        <v>20</v>
      </c>
      <c r="D79" t="s">
        <v>29</v>
      </c>
      <c r="E79" t="s">
        <v>22</v>
      </c>
      <c r="F79" t="s">
        <v>62</v>
      </c>
      <c r="G79" s="1" t="s">
        <v>261</v>
      </c>
      <c r="H79" s="3">
        <v>3878</v>
      </c>
      <c r="J79" t="s">
        <v>55</v>
      </c>
      <c r="K79">
        <v>4.8</v>
      </c>
      <c r="L79" s="1" t="s">
        <v>262</v>
      </c>
      <c r="M79" s="2">
        <v>30</v>
      </c>
      <c r="N79">
        <v>7.7</v>
      </c>
      <c r="O79">
        <v>3</v>
      </c>
      <c r="P79">
        <v>6</v>
      </c>
      <c r="Q79">
        <v>5.7</v>
      </c>
      <c r="R79">
        <v>8.6999999999999993</v>
      </c>
      <c r="S79" t="s">
        <v>40</v>
      </c>
    </row>
    <row r="80" spans="1:41" ht="58" x14ac:dyDescent="0.35">
      <c r="A80" t="s">
        <v>263</v>
      </c>
      <c r="B80">
        <v>24</v>
      </c>
      <c r="C80" t="s">
        <v>20</v>
      </c>
      <c r="D80" t="s">
        <v>96</v>
      </c>
      <c r="E80" t="s">
        <v>22</v>
      </c>
      <c r="F80" t="s">
        <v>62</v>
      </c>
      <c r="G80" s="1" t="s">
        <v>264</v>
      </c>
      <c r="H80" s="3">
        <v>1761</v>
      </c>
      <c r="I80" t="s">
        <v>178</v>
      </c>
      <c r="J80" t="s">
        <v>55</v>
      </c>
      <c r="K80">
        <v>0.6</v>
      </c>
      <c r="L80" s="1" t="s">
        <v>265</v>
      </c>
      <c r="M80" s="2">
        <v>50</v>
      </c>
      <c r="N80">
        <v>3.3</v>
      </c>
      <c r="O80">
        <v>3</v>
      </c>
      <c r="P80">
        <v>5</v>
      </c>
      <c r="Q80">
        <v>4.2</v>
      </c>
      <c r="R80">
        <v>10.5</v>
      </c>
      <c r="S80" t="s">
        <v>27</v>
      </c>
    </row>
    <row r="81" spans="1:19" ht="72.5" x14ac:dyDescent="0.35">
      <c r="A81" t="s">
        <v>266</v>
      </c>
      <c r="B81">
        <v>25</v>
      </c>
      <c r="C81" t="s">
        <v>48</v>
      </c>
      <c r="D81" t="s">
        <v>35</v>
      </c>
      <c r="E81" t="s">
        <v>36</v>
      </c>
      <c r="F81" t="s">
        <v>787</v>
      </c>
      <c r="G81" s="1" t="s">
        <v>267</v>
      </c>
      <c r="H81" s="3">
        <v>0</v>
      </c>
      <c r="I81" t="s">
        <v>38</v>
      </c>
      <c r="J81" t="s">
        <v>119</v>
      </c>
      <c r="K81">
        <v>1.9</v>
      </c>
      <c r="L81" s="1" t="s">
        <v>268</v>
      </c>
      <c r="M81" s="2">
        <v>10</v>
      </c>
      <c r="N81">
        <v>5.5</v>
      </c>
      <c r="O81">
        <v>3</v>
      </c>
      <c r="P81">
        <v>5</v>
      </c>
      <c r="Q81">
        <v>2.9</v>
      </c>
      <c r="R81">
        <v>2.1</v>
      </c>
      <c r="S81" t="s">
        <v>46</v>
      </c>
    </row>
    <row r="82" spans="1:19" ht="72.5" x14ac:dyDescent="0.35">
      <c r="A82" t="s">
        <v>269</v>
      </c>
      <c r="B82">
        <v>29</v>
      </c>
      <c r="C82" t="s">
        <v>20</v>
      </c>
      <c r="D82" t="s">
        <v>96</v>
      </c>
      <c r="E82" t="s">
        <v>22</v>
      </c>
      <c r="F82" t="s">
        <v>23</v>
      </c>
      <c r="G82" s="1" t="s">
        <v>270</v>
      </c>
      <c r="H82" s="3">
        <v>2090</v>
      </c>
      <c r="I82" t="s">
        <v>38</v>
      </c>
      <c r="J82" t="s">
        <v>64</v>
      </c>
      <c r="K82">
        <v>1.3</v>
      </c>
      <c r="L82" s="1" t="s">
        <v>271</v>
      </c>
      <c r="M82" s="2">
        <v>0</v>
      </c>
      <c r="N82">
        <v>4.3</v>
      </c>
      <c r="O82">
        <v>3</v>
      </c>
      <c r="P82">
        <v>7</v>
      </c>
      <c r="Q82">
        <v>2.6</v>
      </c>
      <c r="R82">
        <v>9.9</v>
      </c>
      <c r="S82" t="s">
        <v>27</v>
      </c>
    </row>
    <row r="83" spans="1:19" ht="58" x14ac:dyDescent="0.35">
      <c r="A83" t="s">
        <v>274</v>
      </c>
      <c r="B83">
        <v>24</v>
      </c>
      <c r="C83" t="s">
        <v>20</v>
      </c>
      <c r="D83" t="s">
        <v>21</v>
      </c>
      <c r="E83" t="s">
        <v>36</v>
      </c>
      <c r="F83" t="s">
        <v>30</v>
      </c>
      <c r="G83" s="1" t="s">
        <v>275</v>
      </c>
      <c r="H83" s="3">
        <v>0</v>
      </c>
      <c r="I83" t="s">
        <v>449</v>
      </c>
      <c r="J83" t="s">
        <v>76</v>
      </c>
      <c r="K83">
        <v>1.3</v>
      </c>
      <c r="L83" s="1" t="s">
        <v>276</v>
      </c>
      <c r="M83" s="2">
        <v>0</v>
      </c>
      <c r="N83">
        <v>5.2</v>
      </c>
      <c r="O83">
        <v>4</v>
      </c>
      <c r="P83">
        <v>7</v>
      </c>
      <c r="Q83">
        <v>2.7</v>
      </c>
      <c r="R83">
        <v>4.8</v>
      </c>
      <c r="S83" t="s">
        <v>27</v>
      </c>
    </row>
    <row r="84" spans="1:19" ht="72.5" x14ac:dyDescent="0.35">
      <c r="A84" t="s">
        <v>92</v>
      </c>
      <c r="B84">
        <v>22</v>
      </c>
      <c r="C84" t="s">
        <v>48</v>
      </c>
      <c r="D84" t="s">
        <v>35</v>
      </c>
      <c r="E84" t="s">
        <v>22</v>
      </c>
      <c r="F84" t="s">
        <v>62</v>
      </c>
      <c r="G84" s="1" t="s">
        <v>93</v>
      </c>
      <c r="H84" s="3">
        <v>3546</v>
      </c>
      <c r="I84" t="s">
        <v>51</v>
      </c>
      <c r="J84" t="s">
        <v>32</v>
      </c>
      <c r="K84">
        <v>1.7</v>
      </c>
      <c r="L84" s="1" t="s">
        <v>94</v>
      </c>
      <c r="M84" s="2">
        <v>0</v>
      </c>
      <c r="N84">
        <v>7</v>
      </c>
      <c r="O84">
        <v>4</v>
      </c>
      <c r="P84">
        <v>7</v>
      </c>
      <c r="Q84">
        <v>3.4</v>
      </c>
      <c r="R84">
        <v>6.7</v>
      </c>
      <c r="S84" t="s">
        <v>27</v>
      </c>
    </row>
    <row r="85" spans="1:19" ht="72.5" x14ac:dyDescent="0.35">
      <c r="A85" t="s">
        <v>277</v>
      </c>
      <c r="B85">
        <v>97</v>
      </c>
      <c r="C85" t="s">
        <v>20</v>
      </c>
      <c r="D85" t="s">
        <v>82</v>
      </c>
      <c r="E85" t="s">
        <v>22</v>
      </c>
      <c r="F85" t="s">
        <v>23</v>
      </c>
      <c r="G85" s="1" t="s">
        <v>278</v>
      </c>
      <c r="H85" s="3">
        <v>6779</v>
      </c>
      <c r="I85" t="s">
        <v>38</v>
      </c>
      <c r="J85" t="s">
        <v>64</v>
      </c>
      <c r="K85">
        <v>2.2999999999999998</v>
      </c>
      <c r="L85" s="1" t="s">
        <v>279</v>
      </c>
      <c r="M85" s="2">
        <v>0</v>
      </c>
      <c r="N85">
        <v>4.8</v>
      </c>
      <c r="O85">
        <v>3</v>
      </c>
      <c r="Q85">
        <v>2.4</v>
      </c>
      <c r="R85">
        <v>11.2</v>
      </c>
      <c r="S85" t="s">
        <v>40</v>
      </c>
    </row>
    <row r="86" spans="1:19" ht="58" x14ac:dyDescent="0.35">
      <c r="A86" t="s">
        <v>280</v>
      </c>
      <c r="B86">
        <v>33</v>
      </c>
      <c r="C86" t="s">
        <v>20</v>
      </c>
      <c r="D86" t="s">
        <v>21</v>
      </c>
      <c r="E86" t="s">
        <v>22</v>
      </c>
      <c r="F86" t="s">
        <v>787</v>
      </c>
      <c r="G86" s="1" t="s">
        <v>281</v>
      </c>
      <c r="H86" s="3">
        <v>8205</v>
      </c>
      <c r="I86" t="s">
        <v>38</v>
      </c>
      <c r="J86" t="s">
        <v>39</v>
      </c>
      <c r="K86">
        <v>1.5</v>
      </c>
      <c r="L86" s="1" t="s">
        <v>282</v>
      </c>
      <c r="M86" s="2">
        <v>10</v>
      </c>
      <c r="N86">
        <v>5</v>
      </c>
      <c r="O86">
        <v>4</v>
      </c>
      <c r="P86">
        <v>7</v>
      </c>
      <c r="Q86">
        <v>1.8</v>
      </c>
      <c r="R86">
        <v>8.4</v>
      </c>
      <c r="S86" t="s">
        <v>27</v>
      </c>
    </row>
    <row r="87" spans="1:19" ht="72.5" x14ac:dyDescent="0.35">
      <c r="A87" t="s">
        <v>283</v>
      </c>
      <c r="B87">
        <v>40</v>
      </c>
      <c r="C87" t="s">
        <v>48</v>
      </c>
      <c r="D87" t="s">
        <v>96</v>
      </c>
      <c r="E87" t="s">
        <v>22</v>
      </c>
      <c r="F87" t="s">
        <v>23</v>
      </c>
      <c r="G87" s="1" t="s">
        <v>284</v>
      </c>
      <c r="H87" s="3">
        <v>1575</v>
      </c>
      <c r="I87" t="s">
        <v>38</v>
      </c>
      <c r="J87" t="s">
        <v>55</v>
      </c>
      <c r="K87">
        <v>0.7</v>
      </c>
      <c r="L87" s="1" t="s">
        <v>285</v>
      </c>
      <c r="M87" s="2">
        <v>0</v>
      </c>
      <c r="N87">
        <v>3.8</v>
      </c>
      <c r="O87">
        <v>4</v>
      </c>
      <c r="P87">
        <v>8</v>
      </c>
      <c r="Q87">
        <v>0.6</v>
      </c>
      <c r="R87">
        <v>8.3000000000000007</v>
      </c>
      <c r="S87" t="s">
        <v>40</v>
      </c>
    </row>
    <row r="88" spans="1:19" ht="72.5" x14ac:dyDescent="0.35">
      <c r="A88" t="s">
        <v>286</v>
      </c>
      <c r="B88">
        <v>54</v>
      </c>
      <c r="C88" t="s">
        <v>48</v>
      </c>
      <c r="D88" t="s">
        <v>96</v>
      </c>
      <c r="E88" t="s">
        <v>22</v>
      </c>
      <c r="F88" t="s">
        <v>30</v>
      </c>
      <c r="G88" s="1" t="s">
        <v>236</v>
      </c>
      <c r="H88" s="3">
        <v>2464</v>
      </c>
      <c r="I88" t="s">
        <v>178</v>
      </c>
      <c r="J88" t="s">
        <v>25</v>
      </c>
      <c r="K88">
        <v>3.9</v>
      </c>
      <c r="L88" s="1" t="s">
        <v>287</v>
      </c>
      <c r="M88" s="2">
        <v>0</v>
      </c>
      <c r="N88">
        <v>7.7</v>
      </c>
      <c r="O88">
        <v>4</v>
      </c>
      <c r="P88">
        <v>8</v>
      </c>
      <c r="Q88">
        <v>6.8</v>
      </c>
      <c r="R88">
        <v>7.6</v>
      </c>
      <c r="S88" t="s">
        <v>27</v>
      </c>
    </row>
    <row r="89" spans="1:19" ht="58" x14ac:dyDescent="0.35">
      <c r="A89" t="s">
        <v>288</v>
      </c>
      <c r="B89">
        <v>43</v>
      </c>
      <c r="C89" t="s">
        <v>20</v>
      </c>
      <c r="D89" t="s">
        <v>74</v>
      </c>
      <c r="E89" t="s">
        <v>22</v>
      </c>
      <c r="F89" t="s">
        <v>23</v>
      </c>
      <c r="G89" s="1" t="s">
        <v>289</v>
      </c>
      <c r="H89" s="3">
        <v>730</v>
      </c>
      <c r="I89" t="s">
        <v>38</v>
      </c>
      <c r="J89" t="s">
        <v>71</v>
      </c>
      <c r="K89">
        <v>1.6</v>
      </c>
      <c r="L89" s="1" t="s">
        <v>290</v>
      </c>
      <c r="M89" s="2">
        <v>20</v>
      </c>
      <c r="N89">
        <v>5.0999999999999996</v>
      </c>
      <c r="O89">
        <v>4</v>
      </c>
      <c r="P89">
        <v>5</v>
      </c>
      <c r="Q89">
        <v>4.7</v>
      </c>
      <c r="R89">
        <v>9.6999999999999993</v>
      </c>
      <c r="S89" t="s">
        <v>46</v>
      </c>
    </row>
    <row r="90" spans="1:19" ht="58" x14ac:dyDescent="0.35">
      <c r="A90" t="s">
        <v>291</v>
      </c>
      <c r="B90">
        <v>31</v>
      </c>
      <c r="C90" t="s">
        <v>48</v>
      </c>
      <c r="D90" t="s">
        <v>96</v>
      </c>
      <c r="E90" t="s">
        <v>36</v>
      </c>
      <c r="F90" t="s">
        <v>49</v>
      </c>
      <c r="G90" s="1" t="s">
        <v>292</v>
      </c>
      <c r="H90" s="3">
        <v>157</v>
      </c>
      <c r="I90" t="s">
        <v>38</v>
      </c>
      <c r="J90" t="s">
        <v>119</v>
      </c>
      <c r="K90">
        <v>0.9</v>
      </c>
      <c r="L90" s="1" t="s">
        <v>293</v>
      </c>
      <c r="M90" s="2">
        <v>25</v>
      </c>
      <c r="N90">
        <v>3.7</v>
      </c>
      <c r="O90">
        <v>4</v>
      </c>
      <c r="P90">
        <v>6</v>
      </c>
      <c r="Q90">
        <v>0</v>
      </c>
      <c r="R90">
        <v>6.4</v>
      </c>
    </row>
    <row r="91" spans="1:19" ht="72.5" x14ac:dyDescent="0.35">
      <c r="A91" t="s">
        <v>294</v>
      </c>
      <c r="B91">
        <v>25</v>
      </c>
      <c r="C91" t="s">
        <v>20</v>
      </c>
      <c r="D91" t="s">
        <v>21</v>
      </c>
      <c r="E91" t="s">
        <v>22</v>
      </c>
      <c r="G91" s="1" t="s">
        <v>295</v>
      </c>
      <c r="H91" s="3">
        <v>2945</v>
      </c>
      <c r="I91" t="s">
        <v>51</v>
      </c>
      <c r="J91" t="s">
        <v>39</v>
      </c>
      <c r="L91" s="1" t="s">
        <v>296</v>
      </c>
      <c r="M91" s="2">
        <v>20</v>
      </c>
      <c r="N91">
        <v>9.4</v>
      </c>
      <c r="O91">
        <v>3</v>
      </c>
      <c r="P91">
        <v>8</v>
      </c>
      <c r="Q91">
        <v>15.1</v>
      </c>
      <c r="R91">
        <v>11.3</v>
      </c>
      <c r="S91" t="s">
        <v>27</v>
      </c>
    </row>
    <row r="92" spans="1:19" ht="43.5" x14ac:dyDescent="0.35">
      <c r="A92" t="s">
        <v>297</v>
      </c>
      <c r="C92" t="s">
        <v>20</v>
      </c>
      <c r="D92" t="s">
        <v>113</v>
      </c>
      <c r="E92" t="s">
        <v>36</v>
      </c>
      <c r="F92" t="s">
        <v>62</v>
      </c>
      <c r="G92" s="1" t="s">
        <v>298</v>
      </c>
      <c r="H92" s="3">
        <v>366</v>
      </c>
      <c r="I92" t="s">
        <v>38</v>
      </c>
      <c r="J92" t="s">
        <v>71</v>
      </c>
      <c r="K92">
        <v>0.6</v>
      </c>
      <c r="L92" s="1" t="s">
        <v>299</v>
      </c>
      <c r="M92" s="2">
        <v>25</v>
      </c>
      <c r="N92">
        <v>4.0999999999999996</v>
      </c>
      <c r="P92">
        <v>6</v>
      </c>
      <c r="Q92">
        <v>3</v>
      </c>
      <c r="R92">
        <v>7.6</v>
      </c>
      <c r="S92" t="s">
        <v>27</v>
      </c>
    </row>
    <row r="93" spans="1:19" ht="58" x14ac:dyDescent="0.35">
      <c r="A93" t="s">
        <v>300</v>
      </c>
      <c r="C93" t="s">
        <v>20</v>
      </c>
      <c r="D93" t="s">
        <v>35</v>
      </c>
      <c r="E93" t="s">
        <v>36</v>
      </c>
      <c r="F93" t="s">
        <v>49</v>
      </c>
      <c r="G93" s="1" t="s">
        <v>250</v>
      </c>
      <c r="H93" s="3">
        <v>397</v>
      </c>
      <c r="I93" t="s">
        <v>178</v>
      </c>
      <c r="J93" t="s">
        <v>76</v>
      </c>
      <c r="K93">
        <v>5.4</v>
      </c>
      <c r="L93" s="1" t="s">
        <v>301</v>
      </c>
      <c r="M93" s="2">
        <v>0</v>
      </c>
      <c r="N93">
        <v>9.3000000000000007</v>
      </c>
      <c r="O93">
        <v>3</v>
      </c>
      <c r="P93">
        <v>8</v>
      </c>
      <c r="Q93">
        <v>13.1</v>
      </c>
      <c r="R93">
        <v>6.5</v>
      </c>
      <c r="S93" t="s">
        <v>27</v>
      </c>
    </row>
    <row r="94" spans="1:19" ht="58" x14ac:dyDescent="0.35">
      <c r="A94" t="s">
        <v>302</v>
      </c>
      <c r="B94">
        <v>24</v>
      </c>
      <c r="C94" t="s">
        <v>20</v>
      </c>
      <c r="D94" t="s">
        <v>113</v>
      </c>
      <c r="E94" t="s">
        <v>36</v>
      </c>
      <c r="F94" t="s">
        <v>23</v>
      </c>
      <c r="G94" s="1" t="s">
        <v>303</v>
      </c>
      <c r="H94" s="3">
        <v>134</v>
      </c>
      <c r="I94" t="s">
        <v>68</v>
      </c>
      <c r="J94" t="s">
        <v>76</v>
      </c>
      <c r="K94">
        <v>3.6</v>
      </c>
      <c r="L94" s="1" t="s">
        <v>304</v>
      </c>
      <c r="M94" s="2">
        <v>20</v>
      </c>
      <c r="O94">
        <v>2</v>
      </c>
      <c r="P94">
        <v>6</v>
      </c>
      <c r="Q94">
        <v>5.2</v>
      </c>
      <c r="R94">
        <v>6.5</v>
      </c>
      <c r="S94" t="s">
        <v>46</v>
      </c>
    </row>
    <row r="95" spans="1:19" x14ac:dyDescent="0.35">
      <c r="A95" t="s">
        <v>305</v>
      </c>
      <c r="B95">
        <v>35</v>
      </c>
      <c r="C95" t="s">
        <v>748</v>
      </c>
      <c r="D95" t="s">
        <v>61</v>
      </c>
      <c r="E95" t="s">
        <v>22</v>
      </c>
      <c r="F95" t="s">
        <v>30</v>
      </c>
      <c r="G95" s="1" t="s">
        <v>162</v>
      </c>
      <c r="H95" s="3">
        <v>1354</v>
      </c>
      <c r="I95" t="s">
        <v>38</v>
      </c>
      <c r="J95" t="s">
        <v>71</v>
      </c>
      <c r="K95">
        <v>5</v>
      </c>
      <c r="M95" s="2">
        <v>20</v>
      </c>
      <c r="N95">
        <v>6.2</v>
      </c>
      <c r="O95">
        <v>2</v>
      </c>
      <c r="P95">
        <v>6</v>
      </c>
      <c r="Q95">
        <v>12</v>
      </c>
      <c r="R95">
        <v>6.9</v>
      </c>
      <c r="S95" t="s">
        <v>27</v>
      </c>
    </row>
    <row r="96" spans="1:19" ht="58" x14ac:dyDescent="0.35">
      <c r="A96" t="s">
        <v>306</v>
      </c>
      <c r="B96">
        <v>31</v>
      </c>
      <c r="C96" t="s">
        <v>20</v>
      </c>
      <c r="D96" t="s">
        <v>42</v>
      </c>
      <c r="E96" t="s">
        <v>36</v>
      </c>
      <c r="F96" t="s">
        <v>62</v>
      </c>
      <c r="G96" s="1" t="s">
        <v>307</v>
      </c>
      <c r="H96" s="3">
        <v>191</v>
      </c>
      <c r="I96" t="s">
        <v>68</v>
      </c>
      <c r="J96" t="s">
        <v>39</v>
      </c>
      <c r="K96">
        <v>1.9</v>
      </c>
      <c r="L96" s="1" t="s">
        <v>308</v>
      </c>
      <c r="M96" s="2">
        <v>0</v>
      </c>
      <c r="N96">
        <v>4.8</v>
      </c>
      <c r="O96">
        <v>4</v>
      </c>
      <c r="P96">
        <v>7</v>
      </c>
      <c r="Q96">
        <v>4.8</v>
      </c>
      <c r="R96">
        <v>5.0999999999999996</v>
      </c>
      <c r="S96" t="s">
        <v>27</v>
      </c>
    </row>
    <row r="97" spans="1:19" ht="72.5" x14ac:dyDescent="0.35">
      <c r="A97" t="s">
        <v>312</v>
      </c>
      <c r="B97">
        <v>23</v>
      </c>
      <c r="C97" t="s">
        <v>20</v>
      </c>
      <c r="D97" t="s">
        <v>29</v>
      </c>
      <c r="E97" t="s">
        <v>36</v>
      </c>
      <c r="F97" t="s">
        <v>62</v>
      </c>
      <c r="G97" s="1" t="s">
        <v>50</v>
      </c>
      <c r="H97" s="3">
        <v>0</v>
      </c>
      <c r="I97" t="s">
        <v>449</v>
      </c>
      <c r="J97" t="s">
        <v>119</v>
      </c>
      <c r="K97">
        <v>1.6</v>
      </c>
      <c r="L97" s="1" t="s">
        <v>313</v>
      </c>
      <c r="M97" s="2">
        <v>0</v>
      </c>
      <c r="N97">
        <v>4.5</v>
      </c>
      <c r="O97">
        <v>3</v>
      </c>
      <c r="P97">
        <v>6</v>
      </c>
      <c r="Q97">
        <v>4.2</v>
      </c>
      <c r="R97">
        <v>7</v>
      </c>
      <c r="S97" t="s">
        <v>27</v>
      </c>
    </row>
    <row r="98" spans="1:19" ht="58" x14ac:dyDescent="0.35">
      <c r="A98" t="s">
        <v>314</v>
      </c>
      <c r="B98">
        <v>20</v>
      </c>
      <c r="C98" t="s">
        <v>20</v>
      </c>
      <c r="D98" t="s">
        <v>96</v>
      </c>
      <c r="E98" t="s">
        <v>36</v>
      </c>
      <c r="F98" t="s">
        <v>49</v>
      </c>
      <c r="G98" s="1" t="s">
        <v>79</v>
      </c>
      <c r="H98" s="3">
        <v>126</v>
      </c>
      <c r="I98" t="s">
        <v>38</v>
      </c>
      <c r="J98" t="s">
        <v>76</v>
      </c>
      <c r="K98">
        <v>0.9</v>
      </c>
      <c r="L98" s="1" t="s">
        <v>315</v>
      </c>
      <c r="M98" s="2">
        <v>0</v>
      </c>
      <c r="N98">
        <v>3.2</v>
      </c>
      <c r="O98">
        <v>4</v>
      </c>
      <c r="P98">
        <v>4</v>
      </c>
      <c r="Q98">
        <v>1.8</v>
      </c>
      <c r="R98">
        <v>6.3</v>
      </c>
      <c r="S98" t="s">
        <v>27</v>
      </c>
    </row>
    <row r="99" spans="1:19" ht="72.5" x14ac:dyDescent="0.35">
      <c r="A99" t="s">
        <v>316</v>
      </c>
      <c r="B99">
        <v>47</v>
      </c>
      <c r="C99" t="s">
        <v>20</v>
      </c>
      <c r="D99" t="s">
        <v>35</v>
      </c>
      <c r="E99" t="s">
        <v>22</v>
      </c>
      <c r="F99" t="s">
        <v>30</v>
      </c>
      <c r="G99" s="1" t="s">
        <v>210</v>
      </c>
      <c r="H99" s="3">
        <v>2688</v>
      </c>
      <c r="I99" t="s">
        <v>44</v>
      </c>
      <c r="J99" t="s">
        <v>71</v>
      </c>
      <c r="K99">
        <v>0.9</v>
      </c>
      <c r="L99" s="1" t="s">
        <v>317</v>
      </c>
      <c r="M99" s="2">
        <v>10</v>
      </c>
      <c r="N99">
        <v>3.9</v>
      </c>
      <c r="O99">
        <v>3</v>
      </c>
      <c r="P99">
        <v>5</v>
      </c>
      <c r="Q99">
        <v>1.5</v>
      </c>
      <c r="R99">
        <v>9.1</v>
      </c>
      <c r="S99" t="s">
        <v>40</v>
      </c>
    </row>
    <row r="100" spans="1:19" ht="72.5" x14ac:dyDescent="0.35">
      <c r="A100" t="s">
        <v>318</v>
      </c>
      <c r="B100">
        <v>19</v>
      </c>
      <c r="C100" t="s">
        <v>20</v>
      </c>
      <c r="D100" t="s">
        <v>191</v>
      </c>
      <c r="E100" t="s">
        <v>36</v>
      </c>
      <c r="F100" t="s">
        <v>49</v>
      </c>
      <c r="G100" s="1" t="s">
        <v>319</v>
      </c>
      <c r="H100" s="3">
        <v>0</v>
      </c>
      <c r="I100" t="s">
        <v>68</v>
      </c>
      <c r="J100" t="s">
        <v>119</v>
      </c>
      <c r="K100">
        <v>2</v>
      </c>
      <c r="L100" s="1" t="s">
        <v>320</v>
      </c>
      <c r="M100" s="2">
        <v>0</v>
      </c>
      <c r="N100">
        <v>4.8</v>
      </c>
      <c r="O100">
        <v>4</v>
      </c>
      <c r="P100">
        <v>6</v>
      </c>
      <c r="Q100">
        <v>3</v>
      </c>
      <c r="R100">
        <v>6.3</v>
      </c>
      <c r="S100" t="s">
        <v>46</v>
      </c>
    </row>
    <row r="101" spans="1:19" ht="29" x14ac:dyDescent="0.35">
      <c r="A101" t="s">
        <v>321</v>
      </c>
      <c r="B101">
        <v>30</v>
      </c>
      <c r="C101" t="s">
        <v>48</v>
      </c>
      <c r="D101" t="s">
        <v>103</v>
      </c>
      <c r="E101" t="s">
        <v>22</v>
      </c>
      <c r="F101" t="s">
        <v>23</v>
      </c>
      <c r="G101" s="1" t="s">
        <v>322</v>
      </c>
      <c r="H101" s="3">
        <v>1262</v>
      </c>
      <c r="I101" t="s">
        <v>178</v>
      </c>
      <c r="J101" t="s">
        <v>32</v>
      </c>
      <c r="K101">
        <v>8.5</v>
      </c>
      <c r="M101" s="2">
        <v>20</v>
      </c>
      <c r="N101">
        <v>8.6999999999999993</v>
      </c>
      <c r="O101">
        <v>5</v>
      </c>
      <c r="P101">
        <v>8</v>
      </c>
      <c r="Q101">
        <v>15.6</v>
      </c>
      <c r="S101" t="s">
        <v>27</v>
      </c>
    </row>
    <row r="102" spans="1:19" ht="72.5" x14ac:dyDescent="0.35">
      <c r="A102" t="s">
        <v>323</v>
      </c>
      <c r="B102">
        <v>31</v>
      </c>
      <c r="C102" t="s">
        <v>48</v>
      </c>
      <c r="D102" t="s">
        <v>35</v>
      </c>
      <c r="E102" t="s">
        <v>22</v>
      </c>
      <c r="F102" t="s">
        <v>787</v>
      </c>
      <c r="G102" s="1" t="s">
        <v>284</v>
      </c>
      <c r="H102" s="3">
        <v>4815</v>
      </c>
      <c r="I102" t="s">
        <v>449</v>
      </c>
      <c r="J102" t="s">
        <v>55</v>
      </c>
      <c r="K102">
        <v>4.9000000000000004</v>
      </c>
      <c r="L102" s="1" t="s">
        <v>324</v>
      </c>
      <c r="M102" s="2">
        <v>20</v>
      </c>
      <c r="N102">
        <v>8.6</v>
      </c>
      <c r="O102">
        <v>4</v>
      </c>
      <c r="P102">
        <v>8</v>
      </c>
      <c r="Q102">
        <v>10.7</v>
      </c>
      <c r="R102">
        <v>12.4</v>
      </c>
    </row>
    <row r="103" spans="1:19" ht="72.5" x14ac:dyDescent="0.35">
      <c r="A103" t="s">
        <v>325</v>
      </c>
      <c r="B103">
        <v>28</v>
      </c>
      <c r="C103" t="s">
        <v>20</v>
      </c>
      <c r="D103" t="s">
        <v>42</v>
      </c>
      <c r="E103" t="s">
        <v>22</v>
      </c>
      <c r="F103" t="s">
        <v>23</v>
      </c>
      <c r="G103" s="1" t="s">
        <v>326</v>
      </c>
      <c r="H103" s="3">
        <v>666</v>
      </c>
      <c r="I103" t="s">
        <v>38</v>
      </c>
      <c r="J103" t="s">
        <v>32</v>
      </c>
      <c r="K103">
        <v>2.2000000000000002</v>
      </c>
      <c r="L103" s="1" t="s">
        <v>327</v>
      </c>
      <c r="M103" s="2">
        <v>0</v>
      </c>
      <c r="N103">
        <v>5.3</v>
      </c>
      <c r="O103">
        <v>4</v>
      </c>
      <c r="P103">
        <v>7</v>
      </c>
      <c r="Q103">
        <v>5.2</v>
      </c>
      <c r="R103">
        <v>8.6</v>
      </c>
      <c r="S103" t="s">
        <v>27</v>
      </c>
    </row>
    <row r="104" spans="1:19" ht="58" x14ac:dyDescent="0.35">
      <c r="A104" t="s">
        <v>331</v>
      </c>
      <c r="B104">
        <v>40</v>
      </c>
      <c r="C104" t="s">
        <v>20</v>
      </c>
      <c r="D104" t="s">
        <v>103</v>
      </c>
      <c r="E104" t="s">
        <v>22</v>
      </c>
      <c r="F104" t="s">
        <v>23</v>
      </c>
      <c r="G104" s="1" t="s">
        <v>332</v>
      </c>
      <c r="H104" s="3">
        <v>942</v>
      </c>
      <c r="I104" t="s">
        <v>51</v>
      </c>
      <c r="J104" t="s">
        <v>32</v>
      </c>
      <c r="K104">
        <v>1.3</v>
      </c>
      <c r="L104" s="1" t="s">
        <v>333</v>
      </c>
      <c r="M104" s="2">
        <v>25</v>
      </c>
      <c r="N104">
        <v>2.4</v>
      </c>
      <c r="O104">
        <v>5</v>
      </c>
      <c r="P104">
        <v>5</v>
      </c>
      <c r="Q104">
        <v>4.9000000000000004</v>
      </c>
      <c r="R104">
        <v>9.6999999999999993</v>
      </c>
      <c r="S104" t="s">
        <v>46</v>
      </c>
    </row>
    <row r="105" spans="1:19" ht="87" x14ac:dyDescent="0.35">
      <c r="A105" t="s">
        <v>334</v>
      </c>
      <c r="B105">
        <v>34</v>
      </c>
      <c r="C105" t="s">
        <v>48</v>
      </c>
      <c r="D105" t="s">
        <v>96</v>
      </c>
      <c r="E105" t="s">
        <v>22</v>
      </c>
      <c r="F105" t="s">
        <v>104</v>
      </c>
      <c r="G105" s="1" t="s">
        <v>335</v>
      </c>
      <c r="H105" s="3">
        <v>1188</v>
      </c>
      <c r="I105" t="s">
        <v>51</v>
      </c>
      <c r="J105" t="s">
        <v>25</v>
      </c>
      <c r="K105">
        <v>0.7</v>
      </c>
      <c r="L105" s="1" t="s">
        <v>336</v>
      </c>
      <c r="M105" s="2">
        <v>0</v>
      </c>
      <c r="N105">
        <v>4.7</v>
      </c>
      <c r="O105">
        <v>2</v>
      </c>
      <c r="P105">
        <v>5</v>
      </c>
      <c r="Q105">
        <v>0.6</v>
      </c>
      <c r="R105">
        <v>8.5</v>
      </c>
    </row>
    <row r="106" spans="1:19" ht="58" x14ac:dyDescent="0.35">
      <c r="A106" t="s">
        <v>337</v>
      </c>
      <c r="B106">
        <v>56</v>
      </c>
      <c r="C106" t="s">
        <v>20</v>
      </c>
      <c r="D106" t="s">
        <v>74</v>
      </c>
      <c r="E106" t="s">
        <v>22</v>
      </c>
      <c r="F106" t="s">
        <v>62</v>
      </c>
      <c r="G106" s="1" t="s">
        <v>236</v>
      </c>
      <c r="I106" t="s">
        <v>68</v>
      </c>
      <c r="J106" t="s">
        <v>25</v>
      </c>
      <c r="K106">
        <v>5</v>
      </c>
      <c r="L106" s="1" t="s">
        <v>338</v>
      </c>
      <c r="M106" s="2">
        <v>10</v>
      </c>
      <c r="N106">
        <v>7.7</v>
      </c>
      <c r="O106">
        <v>4</v>
      </c>
      <c r="P106">
        <v>7</v>
      </c>
      <c r="Q106">
        <v>11.4</v>
      </c>
      <c r="R106">
        <v>7.8</v>
      </c>
      <c r="S106" t="s">
        <v>27</v>
      </c>
    </row>
    <row r="107" spans="1:19" ht="58" x14ac:dyDescent="0.35">
      <c r="A107" t="s">
        <v>339</v>
      </c>
      <c r="B107">
        <v>23</v>
      </c>
      <c r="C107" t="s">
        <v>20</v>
      </c>
      <c r="D107" t="s">
        <v>100</v>
      </c>
      <c r="E107" t="s">
        <v>36</v>
      </c>
      <c r="F107" t="s">
        <v>23</v>
      </c>
      <c r="G107" s="1" t="s">
        <v>340</v>
      </c>
      <c r="H107" s="3">
        <v>137</v>
      </c>
      <c r="I107" t="s">
        <v>449</v>
      </c>
      <c r="K107">
        <v>1.4</v>
      </c>
      <c r="L107" s="1" t="s">
        <v>341</v>
      </c>
      <c r="M107" s="2">
        <v>25</v>
      </c>
      <c r="O107">
        <v>3</v>
      </c>
      <c r="P107">
        <v>6</v>
      </c>
      <c r="Q107">
        <v>2.2999999999999998</v>
      </c>
      <c r="S107" t="s">
        <v>40</v>
      </c>
    </row>
    <row r="108" spans="1:19" ht="58" x14ac:dyDescent="0.35">
      <c r="A108" t="s">
        <v>342</v>
      </c>
      <c r="B108">
        <v>23</v>
      </c>
      <c r="C108" t="s">
        <v>20</v>
      </c>
      <c r="D108" t="s">
        <v>191</v>
      </c>
      <c r="E108" t="s">
        <v>36</v>
      </c>
      <c r="F108" t="s">
        <v>49</v>
      </c>
      <c r="G108" s="1" t="s">
        <v>37</v>
      </c>
      <c r="H108" s="3">
        <v>137</v>
      </c>
      <c r="J108" t="s">
        <v>39</v>
      </c>
      <c r="K108">
        <v>1.8</v>
      </c>
      <c r="L108" s="1" t="s">
        <v>343</v>
      </c>
      <c r="M108" s="2">
        <v>10</v>
      </c>
      <c r="N108">
        <v>2.5</v>
      </c>
      <c r="O108">
        <v>4</v>
      </c>
      <c r="P108">
        <v>5</v>
      </c>
      <c r="Q108">
        <v>4.0999999999999996</v>
      </c>
      <c r="R108">
        <v>5.9</v>
      </c>
      <c r="S108" t="s">
        <v>27</v>
      </c>
    </row>
    <row r="109" spans="1:19" ht="87" x14ac:dyDescent="0.35">
      <c r="A109" t="s">
        <v>344</v>
      </c>
      <c r="B109">
        <v>32</v>
      </c>
      <c r="C109" t="s">
        <v>20</v>
      </c>
      <c r="D109" t="s">
        <v>61</v>
      </c>
      <c r="E109" t="s">
        <v>22</v>
      </c>
      <c r="F109" t="s">
        <v>23</v>
      </c>
      <c r="G109" s="1" t="s">
        <v>345</v>
      </c>
      <c r="H109" s="3">
        <v>1141</v>
      </c>
      <c r="I109" t="s">
        <v>44</v>
      </c>
      <c r="J109" t="s">
        <v>32</v>
      </c>
      <c r="K109">
        <v>0.5</v>
      </c>
      <c r="L109" s="1" t="s">
        <v>346</v>
      </c>
      <c r="M109" s="2">
        <v>10</v>
      </c>
      <c r="N109">
        <v>5.8</v>
      </c>
      <c r="O109">
        <v>4</v>
      </c>
      <c r="P109">
        <v>8</v>
      </c>
      <c r="Q109">
        <v>2.7</v>
      </c>
      <c r="R109">
        <v>8.6999999999999993</v>
      </c>
      <c r="S109" t="s">
        <v>27</v>
      </c>
    </row>
    <row r="110" spans="1:19" ht="58" x14ac:dyDescent="0.35">
      <c r="A110" t="s">
        <v>347</v>
      </c>
      <c r="B110">
        <v>63</v>
      </c>
      <c r="C110" t="s">
        <v>48</v>
      </c>
      <c r="D110" t="s">
        <v>42</v>
      </c>
      <c r="E110" t="s">
        <v>22</v>
      </c>
      <c r="F110" t="s">
        <v>104</v>
      </c>
      <c r="H110" s="3">
        <v>418</v>
      </c>
      <c r="I110" t="s">
        <v>38</v>
      </c>
      <c r="J110" t="s">
        <v>71</v>
      </c>
      <c r="K110">
        <v>1.6</v>
      </c>
      <c r="L110" s="1" t="s">
        <v>348</v>
      </c>
      <c r="N110">
        <v>4.9000000000000004</v>
      </c>
      <c r="O110">
        <v>4</v>
      </c>
      <c r="P110">
        <v>5</v>
      </c>
      <c r="Q110">
        <v>4.9000000000000004</v>
      </c>
      <c r="R110">
        <v>8.5</v>
      </c>
      <c r="S110" t="s">
        <v>40</v>
      </c>
    </row>
    <row r="111" spans="1:19" ht="58" x14ac:dyDescent="0.35">
      <c r="A111" t="s">
        <v>349</v>
      </c>
      <c r="B111">
        <v>41</v>
      </c>
      <c r="C111" t="s">
        <v>748</v>
      </c>
      <c r="D111" t="s">
        <v>42</v>
      </c>
      <c r="E111" t="s">
        <v>22</v>
      </c>
      <c r="F111" t="s">
        <v>62</v>
      </c>
      <c r="G111" s="1" t="s">
        <v>350</v>
      </c>
      <c r="H111" s="3">
        <v>1002</v>
      </c>
      <c r="I111" t="s">
        <v>44</v>
      </c>
      <c r="J111" t="s">
        <v>39</v>
      </c>
      <c r="K111">
        <v>4.5999999999999996</v>
      </c>
      <c r="L111" s="1" t="s">
        <v>351</v>
      </c>
      <c r="M111" s="2">
        <v>0</v>
      </c>
      <c r="N111">
        <v>7.4</v>
      </c>
      <c r="O111">
        <v>4</v>
      </c>
      <c r="P111">
        <v>7</v>
      </c>
      <c r="Q111">
        <v>7.9</v>
      </c>
      <c r="R111">
        <v>8.8000000000000007</v>
      </c>
      <c r="S111" t="s">
        <v>27</v>
      </c>
    </row>
    <row r="112" spans="1:19" ht="58" x14ac:dyDescent="0.35">
      <c r="A112" t="s">
        <v>352</v>
      </c>
      <c r="B112">
        <v>20</v>
      </c>
      <c r="C112" t="s">
        <v>48</v>
      </c>
      <c r="D112" t="s">
        <v>74</v>
      </c>
      <c r="E112" t="s">
        <v>36</v>
      </c>
      <c r="F112" t="s">
        <v>49</v>
      </c>
      <c r="G112" s="1" t="s">
        <v>353</v>
      </c>
      <c r="H112" s="3">
        <v>0</v>
      </c>
      <c r="I112" t="s">
        <v>68</v>
      </c>
      <c r="J112" t="s">
        <v>64</v>
      </c>
      <c r="K112">
        <v>3.4</v>
      </c>
      <c r="L112" s="1" t="s">
        <v>354</v>
      </c>
      <c r="M112" s="2">
        <v>10</v>
      </c>
      <c r="N112">
        <v>6.5</v>
      </c>
      <c r="O112">
        <v>3</v>
      </c>
      <c r="P112">
        <v>6</v>
      </c>
      <c r="Q112">
        <v>7.2</v>
      </c>
      <c r="R112">
        <v>4.5999999999999996</v>
      </c>
      <c r="S112" t="s">
        <v>27</v>
      </c>
    </row>
    <row r="113" spans="1:19" ht="58" x14ac:dyDescent="0.35">
      <c r="A113" t="s">
        <v>355</v>
      </c>
      <c r="B113">
        <v>23</v>
      </c>
      <c r="C113" t="s">
        <v>48</v>
      </c>
      <c r="D113" t="s">
        <v>74</v>
      </c>
      <c r="E113" t="s">
        <v>22</v>
      </c>
      <c r="F113" t="s">
        <v>30</v>
      </c>
      <c r="G113" s="1" t="s">
        <v>162</v>
      </c>
      <c r="H113" s="3">
        <v>965</v>
      </c>
      <c r="I113" t="s">
        <v>116</v>
      </c>
      <c r="J113" t="s">
        <v>71</v>
      </c>
      <c r="K113">
        <v>3.3</v>
      </c>
      <c r="L113" s="1" t="s">
        <v>356</v>
      </c>
      <c r="M113" s="2">
        <v>0</v>
      </c>
      <c r="N113">
        <v>6.6</v>
      </c>
      <c r="O113">
        <v>4</v>
      </c>
      <c r="P113">
        <v>6</v>
      </c>
      <c r="Q113">
        <v>7.7</v>
      </c>
      <c r="R113">
        <v>9.6</v>
      </c>
      <c r="S113" t="s">
        <v>27</v>
      </c>
    </row>
    <row r="114" spans="1:19" ht="72.5" x14ac:dyDescent="0.35">
      <c r="A114" t="s">
        <v>357</v>
      </c>
      <c r="B114">
        <v>25</v>
      </c>
      <c r="C114" t="s">
        <v>20</v>
      </c>
      <c r="D114" t="s">
        <v>35</v>
      </c>
      <c r="E114" t="s">
        <v>22</v>
      </c>
      <c r="F114" t="s">
        <v>23</v>
      </c>
      <c r="G114" s="1" t="s">
        <v>322</v>
      </c>
      <c r="H114" s="3">
        <v>6171</v>
      </c>
      <c r="I114" t="s">
        <v>178</v>
      </c>
      <c r="J114" t="s">
        <v>32</v>
      </c>
      <c r="K114">
        <v>1.9</v>
      </c>
      <c r="L114" s="1" t="s">
        <v>358</v>
      </c>
      <c r="M114" s="2">
        <v>0</v>
      </c>
      <c r="N114">
        <v>3.7</v>
      </c>
      <c r="O114">
        <v>4</v>
      </c>
      <c r="P114">
        <v>5</v>
      </c>
      <c r="Q114">
        <v>0.8</v>
      </c>
      <c r="R114">
        <v>7.6</v>
      </c>
      <c r="S114" t="s">
        <v>46</v>
      </c>
    </row>
    <row r="115" spans="1:19" ht="58" x14ac:dyDescent="0.35">
      <c r="A115" t="s">
        <v>359</v>
      </c>
      <c r="B115">
        <v>18</v>
      </c>
      <c r="C115" t="s">
        <v>20</v>
      </c>
      <c r="D115" t="s">
        <v>61</v>
      </c>
      <c r="E115" t="s">
        <v>36</v>
      </c>
      <c r="F115" t="s">
        <v>49</v>
      </c>
      <c r="G115" s="1" t="s">
        <v>97</v>
      </c>
      <c r="H115" s="3">
        <v>192</v>
      </c>
      <c r="I115" t="s">
        <v>38</v>
      </c>
      <c r="J115" t="s">
        <v>71</v>
      </c>
      <c r="K115">
        <v>3.8</v>
      </c>
      <c r="L115" s="1" t="s">
        <v>360</v>
      </c>
      <c r="M115" s="2">
        <v>0</v>
      </c>
      <c r="N115">
        <v>6.5</v>
      </c>
      <c r="O115">
        <v>4</v>
      </c>
      <c r="P115">
        <v>9</v>
      </c>
      <c r="Q115">
        <v>7</v>
      </c>
      <c r="R115">
        <v>7.6</v>
      </c>
      <c r="S115" t="s">
        <v>27</v>
      </c>
    </row>
    <row r="116" spans="1:19" ht="58" x14ac:dyDescent="0.35">
      <c r="A116" t="s">
        <v>361</v>
      </c>
      <c r="B116">
        <v>20</v>
      </c>
      <c r="C116" t="s">
        <v>48</v>
      </c>
      <c r="D116" t="s">
        <v>29</v>
      </c>
      <c r="E116" t="s">
        <v>36</v>
      </c>
      <c r="F116" t="s">
        <v>23</v>
      </c>
      <c r="G116" s="1" t="s">
        <v>362</v>
      </c>
      <c r="H116" s="3">
        <v>0</v>
      </c>
      <c r="I116" t="s">
        <v>38</v>
      </c>
      <c r="J116" t="s">
        <v>39</v>
      </c>
      <c r="K116">
        <v>1.4</v>
      </c>
      <c r="L116" s="1" t="s">
        <v>363</v>
      </c>
      <c r="M116" s="2">
        <v>0</v>
      </c>
      <c r="N116">
        <v>1.8</v>
      </c>
      <c r="O116">
        <v>3</v>
      </c>
      <c r="P116">
        <v>5</v>
      </c>
      <c r="Q116">
        <v>1.2</v>
      </c>
      <c r="R116">
        <v>5.6</v>
      </c>
      <c r="S116" t="s">
        <v>27</v>
      </c>
    </row>
    <row r="117" spans="1:19" ht="58" x14ac:dyDescent="0.35">
      <c r="A117" t="s">
        <v>364</v>
      </c>
      <c r="B117">
        <v>63</v>
      </c>
      <c r="C117" t="s">
        <v>20</v>
      </c>
      <c r="D117" t="s">
        <v>113</v>
      </c>
      <c r="E117" t="s">
        <v>22</v>
      </c>
      <c r="F117" t="s">
        <v>30</v>
      </c>
      <c r="G117" s="1" t="s">
        <v>365</v>
      </c>
      <c r="H117" s="3">
        <v>4964</v>
      </c>
      <c r="I117" t="s">
        <v>366</v>
      </c>
      <c r="J117" t="s">
        <v>64</v>
      </c>
      <c r="K117">
        <v>0.7</v>
      </c>
      <c r="L117" s="1" t="s">
        <v>367</v>
      </c>
      <c r="M117" s="2">
        <v>20</v>
      </c>
      <c r="N117">
        <v>4.3</v>
      </c>
      <c r="O117">
        <v>4</v>
      </c>
      <c r="Q117">
        <v>3.6</v>
      </c>
      <c r="R117">
        <v>7.3</v>
      </c>
      <c r="S117" t="s">
        <v>46</v>
      </c>
    </row>
    <row r="118" spans="1:19" ht="29" x14ac:dyDescent="0.35">
      <c r="A118" t="s">
        <v>368</v>
      </c>
      <c r="C118" t="s">
        <v>20</v>
      </c>
      <c r="D118" t="s">
        <v>74</v>
      </c>
      <c r="E118" t="s">
        <v>36</v>
      </c>
      <c r="F118" t="s">
        <v>30</v>
      </c>
      <c r="G118" s="1" t="s">
        <v>86</v>
      </c>
      <c r="H118" s="3">
        <v>83</v>
      </c>
      <c r="I118" t="s">
        <v>68</v>
      </c>
      <c r="J118" t="s">
        <v>119</v>
      </c>
      <c r="K118">
        <v>2.2999999999999998</v>
      </c>
      <c r="M118" s="2">
        <v>20</v>
      </c>
      <c r="N118">
        <v>6.1</v>
      </c>
      <c r="O118">
        <v>3</v>
      </c>
      <c r="P118">
        <v>5</v>
      </c>
      <c r="Q118">
        <v>2.2999999999999998</v>
      </c>
      <c r="R118">
        <v>6.4</v>
      </c>
      <c r="S118" t="s">
        <v>46</v>
      </c>
    </row>
    <row r="119" spans="1:19" ht="43.5" x14ac:dyDescent="0.35">
      <c r="A119" t="s">
        <v>369</v>
      </c>
      <c r="B119">
        <v>27</v>
      </c>
      <c r="C119" t="s">
        <v>48</v>
      </c>
      <c r="D119" t="s">
        <v>82</v>
      </c>
      <c r="E119" t="s">
        <v>36</v>
      </c>
      <c r="F119" t="s">
        <v>49</v>
      </c>
      <c r="G119" s="1" t="s">
        <v>79</v>
      </c>
      <c r="H119" s="3">
        <v>578</v>
      </c>
      <c r="I119" t="s">
        <v>38</v>
      </c>
      <c r="J119" t="s">
        <v>119</v>
      </c>
      <c r="K119">
        <v>4</v>
      </c>
      <c r="L119" s="1" t="s">
        <v>370</v>
      </c>
      <c r="M119" s="2">
        <v>0</v>
      </c>
      <c r="N119">
        <v>7.5</v>
      </c>
      <c r="O119">
        <v>3</v>
      </c>
      <c r="P119">
        <v>8</v>
      </c>
      <c r="Q119">
        <v>7.9</v>
      </c>
      <c r="R119">
        <v>5.3</v>
      </c>
      <c r="S119" t="s">
        <v>27</v>
      </c>
    </row>
    <row r="120" spans="1:19" ht="72.5" x14ac:dyDescent="0.35">
      <c r="A120" t="s">
        <v>371</v>
      </c>
      <c r="B120">
        <v>36</v>
      </c>
      <c r="C120" t="s">
        <v>20</v>
      </c>
      <c r="D120" t="s">
        <v>29</v>
      </c>
      <c r="E120" t="s">
        <v>22</v>
      </c>
      <c r="F120" t="s">
        <v>787</v>
      </c>
      <c r="G120" s="1" t="s">
        <v>372</v>
      </c>
      <c r="H120" s="3">
        <v>9938</v>
      </c>
      <c r="I120" t="s">
        <v>68</v>
      </c>
      <c r="K120">
        <v>1.7</v>
      </c>
      <c r="L120" s="1" t="s">
        <v>373</v>
      </c>
      <c r="M120" s="2">
        <v>0</v>
      </c>
      <c r="N120">
        <v>5.8</v>
      </c>
      <c r="P120">
        <v>5</v>
      </c>
      <c r="Q120">
        <v>7.1</v>
      </c>
      <c r="R120">
        <v>7.6</v>
      </c>
      <c r="S120" t="s">
        <v>40</v>
      </c>
    </row>
    <row r="121" spans="1:19" ht="58" x14ac:dyDescent="0.35">
      <c r="A121" t="s">
        <v>374</v>
      </c>
      <c r="B121">
        <v>58</v>
      </c>
      <c r="C121" t="s">
        <v>748</v>
      </c>
      <c r="D121" t="s">
        <v>42</v>
      </c>
      <c r="E121" t="s">
        <v>22</v>
      </c>
      <c r="F121" t="s">
        <v>30</v>
      </c>
      <c r="G121" s="1" t="s">
        <v>375</v>
      </c>
      <c r="H121" s="3">
        <v>1469</v>
      </c>
      <c r="J121" t="s">
        <v>32</v>
      </c>
      <c r="K121">
        <v>2.2000000000000002</v>
      </c>
      <c r="L121" s="1" t="s">
        <v>376</v>
      </c>
      <c r="M121" s="2">
        <v>0</v>
      </c>
      <c r="N121">
        <v>5.7</v>
      </c>
      <c r="O121">
        <v>2</v>
      </c>
      <c r="P121">
        <v>3</v>
      </c>
      <c r="Q121">
        <v>1.3</v>
      </c>
      <c r="R121">
        <v>7.1</v>
      </c>
      <c r="S121" t="s">
        <v>27</v>
      </c>
    </row>
    <row r="122" spans="1:19" ht="58" x14ac:dyDescent="0.35">
      <c r="A122" t="s">
        <v>377</v>
      </c>
      <c r="B122">
        <v>17</v>
      </c>
      <c r="C122" t="s">
        <v>48</v>
      </c>
      <c r="D122" t="s">
        <v>61</v>
      </c>
      <c r="E122" t="s">
        <v>36</v>
      </c>
      <c r="F122" t="s">
        <v>23</v>
      </c>
      <c r="G122" s="1" t="s">
        <v>378</v>
      </c>
      <c r="H122" s="3">
        <v>130</v>
      </c>
      <c r="I122" t="s">
        <v>68</v>
      </c>
      <c r="K122">
        <v>2.4</v>
      </c>
      <c r="L122" s="1" t="s">
        <v>379</v>
      </c>
      <c r="M122" s="2">
        <v>20</v>
      </c>
      <c r="N122">
        <v>4.8</v>
      </c>
      <c r="O122">
        <v>4</v>
      </c>
      <c r="P122">
        <v>8</v>
      </c>
      <c r="Q122">
        <v>4.7</v>
      </c>
      <c r="R122">
        <v>3.2</v>
      </c>
      <c r="S122" t="s">
        <v>27</v>
      </c>
    </row>
    <row r="123" spans="1:19" ht="58" x14ac:dyDescent="0.35">
      <c r="A123" t="s">
        <v>380</v>
      </c>
      <c r="B123">
        <v>23</v>
      </c>
      <c r="C123" t="s">
        <v>20</v>
      </c>
      <c r="D123" t="s">
        <v>748</v>
      </c>
      <c r="E123" t="s">
        <v>22</v>
      </c>
      <c r="F123" t="s">
        <v>30</v>
      </c>
      <c r="G123" s="1" t="s">
        <v>31</v>
      </c>
      <c r="H123" s="3">
        <v>5268</v>
      </c>
      <c r="I123" t="s">
        <v>51</v>
      </c>
      <c r="J123" t="s">
        <v>32</v>
      </c>
      <c r="K123">
        <v>1.2</v>
      </c>
      <c r="L123" s="1" t="s">
        <v>381</v>
      </c>
      <c r="M123" s="2">
        <v>0</v>
      </c>
      <c r="N123">
        <v>2.4</v>
      </c>
      <c r="O123">
        <v>4</v>
      </c>
      <c r="Q123">
        <v>0.4</v>
      </c>
      <c r="R123">
        <v>8.8000000000000007</v>
      </c>
      <c r="S123" t="s">
        <v>40</v>
      </c>
    </row>
    <row r="124" spans="1:19" ht="58" x14ac:dyDescent="0.35">
      <c r="A124" t="s">
        <v>382</v>
      </c>
      <c r="B124">
        <v>23</v>
      </c>
      <c r="C124" t="s">
        <v>48</v>
      </c>
      <c r="D124" t="s">
        <v>29</v>
      </c>
      <c r="E124" t="s">
        <v>36</v>
      </c>
      <c r="F124" t="s">
        <v>49</v>
      </c>
      <c r="G124" s="1" t="s">
        <v>37</v>
      </c>
      <c r="H124" s="3">
        <v>221</v>
      </c>
      <c r="I124" t="s">
        <v>137</v>
      </c>
      <c r="J124" t="s">
        <v>39</v>
      </c>
      <c r="K124">
        <v>1.3</v>
      </c>
      <c r="L124" s="1" t="s">
        <v>383</v>
      </c>
      <c r="M124" s="2">
        <v>25</v>
      </c>
      <c r="N124">
        <v>4.5</v>
      </c>
      <c r="O124">
        <v>2</v>
      </c>
      <c r="P124">
        <v>4</v>
      </c>
      <c r="Q124">
        <v>3.8</v>
      </c>
      <c r="R124">
        <v>6.3</v>
      </c>
      <c r="S124" t="s">
        <v>40</v>
      </c>
    </row>
    <row r="125" spans="1:19" ht="58" x14ac:dyDescent="0.35">
      <c r="A125" t="s">
        <v>386</v>
      </c>
      <c r="B125">
        <v>30</v>
      </c>
      <c r="C125" t="s">
        <v>195</v>
      </c>
      <c r="D125" t="s">
        <v>74</v>
      </c>
      <c r="E125" t="s">
        <v>36</v>
      </c>
      <c r="G125" s="1" t="s">
        <v>86</v>
      </c>
      <c r="H125" s="3">
        <v>67</v>
      </c>
      <c r="I125" t="s">
        <v>38</v>
      </c>
      <c r="J125" t="s">
        <v>39</v>
      </c>
      <c r="K125">
        <v>1.4</v>
      </c>
      <c r="L125" s="1" t="s">
        <v>387</v>
      </c>
      <c r="M125" s="2">
        <v>20</v>
      </c>
      <c r="N125">
        <v>2.9</v>
      </c>
      <c r="O125">
        <v>3</v>
      </c>
      <c r="P125">
        <v>3</v>
      </c>
      <c r="Q125">
        <v>0.8</v>
      </c>
      <c r="R125">
        <v>5.6</v>
      </c>
      <c r="S125" t="s">
        <v>40</v>
      </c>
    </row>
    <row r="126" spans="1:19" ht="58" x14ac:dyDescent="0.35">
      <c r="A126" t="s">
        <v>388</v>
      </c>
      <c r="B126">
        <v>20</v>
      </c>
      <c r="C126" t="s">
        <v>20</v>
      </c>
      <c r="D126" t="s">
        <v>29</v>
      </c>
      <c r="E126" t="s">
        <v>36</v>
      </c>
      <c r="G126" s="1" t="s">
        <v>340</v>
      </c>
      <c r="H126" s="3">
        <v>698</v>
      </c>
      <c r="I126" t="s">
        <v>178</v>
      </c>
      <c r="J126" t="s">
        <v>76</v>
      </c>
      <c r="K126">
        <v>1.2</v>
      </c>
      <c r="L126" s="1" t="s">
        <v>389</v>
      </c>
      <c r="M126" s="2">
        <v>0</v>
      </c>
      <c r="N126">
        <v>3.7</v>
      </c>
      <c r="O126">
        <v>3</v>
      </c>
      <c r="P126">
        <v>4</v>
      </c>
      <c r="Q126">
        <v>1.7</v>
      </c>
      <c r="R126">
        <v>4.7</v>
      </c>
      <c r="S126" t="s">
        <v>40</v>
      </c>
    </row>
    <row r="127" spans="1:19" ht="58" x14ac:dyDescent="0.35">
      <c r="A127" t="s">
        <v>390</v>
      </c>
      <c r="B127">
        <v>22</v>
      </c>
      <c r="C127" t="s">
        <v>20</v>
      </c>
      <c r="D127" t="s">
        <v>29</v>
      </c>
      <c r="E127" t="s">
        <v>36</v>
      </c>
      <c r="F127" t="s">
        <v>49</v>
      </c>
      <c r="G127" s="1" t="s">
        <v>340</v>
      </c>
      <c r="H127" s="3">
        <v>600</v>
      </c>
      <c r="I127" t="s">
        <v>38</v>
      </c>
      <c r="J127" t="s">
        <v>119</v>
      </c>
      <c r="K127">
        <v>1.4</v>
      </c>
      <c r="L127" s="1" t="s">
        <v>391</v>
      </c>
      <c r="M127" s="2">
        <v>25</v>
      </c>
      <c r="N127">
        <v>2.9</v>
      </c>
      <c r="O127">
        <v>4</v>
      </c>
      <c r="P127">
        <v>4</v>
      </c>
      <c r="Q127">
        <v>4.5999999999999996</v>
      </c>
      <c r="R127">
        <v>4.9000000000000004</v>
      </c>
      <c r="S127" t="s">
        <v>40</v>
      </c>
    </row>
    <row r="128" spans="1:19" ht="43.5" x14ac:dyDescent="0.35">
      <c r="A128" t="s">
        <v>392</v>
      </c>
      <c r="B128">
        <v>24</v>
      </c>
      <c r="C128" t="s">
        <v>195</v>
      </c>
      <c r="D128" t="s">
        <v>61</v>
      </c>
      <c r="E128" t="s">
        <v>36</v>
      </c>
      <c r="F128" t="s">
        <v>62</v>
      </c>
      <c r="G128" s="1" t="s">
        <v>97</v>
      </c>
      <c r="H128" s="3">
        <v>63</v>
      </c>
      <c r="I128" t="s">
        <v>68</v>
      </c>
      <c r="J128" t="s">
        <v>71</v>
      </c>
      <c r="K128">
        <v>3</v>
      </c>
      <c r="L128" s="1" t="s">
        <v>393</v>
      </c>
      <c r="M128" s="2">
        <v>0</v>
      </c>
      <c r="N128">
        <v>7</v>
      </c>
      <c r="O128">
        <v>4</v>
      </c>
      <c r="P128">
        <v>9</v>
      </c>
      <c r="Q128">
        <v>10.5</v>
      </c>
      <c r="R128">
        <v>6.4</v>
      </c>
      <c r="S128" t="s">
        <v>27</v>
      </c>
    </row>
    <row r="129" spans="1:19" ht="43.5" x14ac:dyDescent="0.35">
      <c r="A129" t="s">
        <v>394</v>
      </c>
      <c r="B129">
        <v>26</v>
      </c>
      <c r="C129" t="s">
        <v>48</v>
      </c>
      <c r="D129" t="s">
        <v>61</v>
      </c>
      <c r="E129" t="s">
        <v>36</v>
      </c>
      <c r="F129" t="s">
        <v>787</v>
      </c>
      <c r="G129" s="1" t="s">
        <v>395</v>
      </c>
      <c r="H129" s="3">
        <v>0</v>
      </c>
      <c r="I129" t="s">
        <v>178</v>
      </c>
      <c r="J129" t="s">
        <v>39</v>
      </c>
      <c r="K129">
        <v>0.8</v>
      </c>
      <c r="L129" s="1" t="s">
        <v>396</v>
      </c>
      <c r="M129" s="2">
        <v>0</v>
      </c>
      <c r="O129">
        <v>2</v>
      </c>
      <c r="P129">
        <v>3</v>
      </c>
      <c r="Q129">
        <v>0</v>
      </c>
      <c r="R129">
        <v>3.7</v>
      </c>
      <c r="S129" t="s">
        <v>40</v>
      </c>
    </row>
    <row r="130" spans="1:19" ht="58" x14ac:dyDescent="0.35">
      <c r="A130" t="s">
        <v>397</v>
      </c>
      <c r="B130">
        <v>32</v>
      </c>
      <c r="C130" t="s">
        <v>48</v>
      </c>
      <c r="D130" t="s">
        <v>29</v>
      </c>
      <c r="E130" t="s">
        <v>22</v>
      </c>
      <c r="F130" t="s">
        <v>30</v>
      </c>
      <c r="G130" s="1" t="s">
        <v>83</v>
      </c>
      <c r="H130" s="3">
        <v>7739</v>
      </c>
      <c r="I130" t="s">
        <v>38</v>
      </c>
      <c r="J130" t="s">
        <v>39</v>
      </c>
      <c r="K130">
        <v>2.2000000000000002</v>
      </c>
      <c r="L130" s="1" t="s">
        <v>398</v>
      </c>
      <c r="M130" s="2">
        <v>0</v>
      </c>
      <c r="N130">
        <v>5.0999999999999996</v>
      </c>
      <c r="O130">
        <v>3</v>
      </c>
      <c r="P130">
        <v>6</v>
      </c>
      <c r="Q130">
        <v>5.6</v>
      </c>
      <c r="R130">
        <v>5.0999999999999996</v>
      </c>
      <c r="S130" t="s">
        <v>40</v>
      </c>
    </row>
    <row r="131" spans="1:19" ht="43.5" x14ac:dyDescent="0.35">
      <c r="A131" t="s">
        <v>384</v>
      </c>
      <c r="B131">
        <v>26</v>
      </c>
      <c r="C131" t="s">
        <v>195</v>
      </c>
      <c r="D131" t="s">
        <v>29</v>
      </c>
      <c r="E131" t="s">
        <v>36</v>
      </c>
      <c r="F131" t="s">
        <v>23</v>
      </c>
      <c r="G131" s="1" t="s">
        <v>340</v>
      </c>
      <c r="H131" s="3">
        <v>520</v>
      </c>
      <c r="I131" t="s">
        <v>38</v>
      </c>
      <c r="J131" t="s">
        <v>119</v>
      </c>
      <c r="K131">
        <v>2.7</v>
      </c>
      <c r="L131" s="1" t="s">
        <v>385</v>
      </c>
      <c r="M131" s="2">
        <v>0</v>
      </c>
      <c r="N131">
        <v>5.7</v>
      </c>
      <c r="O131">
        <v>4</v>
      </c>
      <c r="P131">
        <v>7</v>
      </c>
      <c r="Q131">
        <v>8.4</v>
      </c>
      <c r="R131">
        <v>5.4</v>
      </c>
      <c r="S131" t="s">
        <v>27</v>
      </c>
    </row>
    <row r="132" spans="1:19" ht="58" x14ac:dyDescent="0.35">
      <c r="A132" t="s">
        <v>399</v>
      </c>
      <c r="B132">
        <v>29</v>
      </c>
      <c r="C132" t="s">
        <v>48</v>
      </c>
      <c r="D132" t="s">
        <v>100</v>
      </c>
      <c r="E132" t="s">
        <v>22</v>
      </c>
      <c r="F132" t="s">
        <v>104</v>
      </c>
      <c r="G132" s="1" t="s">
        <v>89</v>
      </c>
      <c r="H132" s="3">
        <v>898</v>
      </c>
      <c r="I132" t="s">
        <v>38</v>
      </c>
      <c r="J132" t="s">
        <v>55</v>
      </c>
      <c r="K132">
        <v>2.2999999999999998</v>
      </c>
      <c r="L132" s="1" t="s">
        <v>400</v>
      </c>
      <c r="M132" s="2">
        <v>0</v>
      </c>
      <c r="N132">
        <v>4.5</v>
      </c>
      <c r="O132">
        <v>4</v>
      </c>
      <c r="P132">
        <v>5</v>
      </c>
      <c r="Q132">
        <v>4.9000000000000004</v>
      </c>
      <c r="R132">
        <v>6.4</v>
      </c>
      <c r="S132" t="s">
        <v>27</v>
      </c>
    </row>
    <row r="133" spans="1:19" ht="87" x14ac:dyDescent="0.35">
      <c r="A133" t="s">
        <v>401</v>
      </c>
      <c r="B133">
        <v>49</v>
      </c>
      <c r="C133" t="s">
        <v>20</v>
      </c>
      <c r="D133" t="s">
        <v>96</v>
      </c>
      <c r="E133" t="s">
        <v>22</v>
      </c>
      <c r="F133" t="s">
        <v>23</v>
      </c>
      <c r="G133" s="1" t="s">
        <v>402</v>
      </c>
      <c r="H133" s="3">
        <v>1057</v>
      </c>
      <c r="I133" t="s">
        <v>38</v>
      </c>
      <c r="J133" t="s">
        <v>76</v>
      </c>
      <c r="K133">
        <v>2</v>
      </c>
      <c r="L133" s="1" t="s">
        <v>403</v>
      </c>
      <c r="M133" s="2">
        <v>25</v>
      </c>
      <c r="N133">
        <v>5.2</v>
      </c>
      <c r="O133">
        <v>5</v>
      </c>
      <c r="P133">
        <v>8</v>
      </c>
      <c r="Q133">
        <v>5.7</v>
      </c>
      <c r="R133">
        <v>7.5</v>
      </c>
      <c r="S133" t="s">
        <v>40</v>
      </c>
    </row>
    <row r="134" spans="1:19" ht="43.5" x14ac:dyDescent="0.35">
      <c r="A134" t="s">
        <v>404</v>
      </c>
      <c r="B134">
        <v>21</v>
      </c>
      <c r="C134" t="s">
        <v>20</v>
      </c>
      <c r="D134" t="s">
        <v>191</v>
      </c>
      <c r="E134" t="s">
        <v>36</v>
      </c>
      <c r="F134" t="s">
        <v>62</v>
      </c>
      <c r="G134" s="1" t="s">
        <v>132</v>
      </c>
      <c r="H134" s="3">
        <v>221</v>
      </c>
      <c r="I134" t="s">
        <v>51</v>
      </c>
      <c r="J134" t="s">
        <v>76</v>
      </c>
      <c r="K134">
        <v>6.5</v>
      </c>
      <c r="L134" s="1" t="s">
        <v>405</v>
      </c>
      <c r="M134" s="2">
        <v>10</v>
      </c>
      <c r="N134">
        <v>8.3000000000000007</v>
      </c>
      <c r="O134">
        <v>2</v>
      </c>
      <c r="P134">
        <v>6</v>
      </c>
      <c r="Q134">
        <v>14.2</v>
      </c>
      <c r="R134">
        <v>4.8</v>
      </c>
      <c r="S134" t="s">
        <v>40</v>
      </c>
    </row>
    <row r="135" spans="1:19" ht="43.5" x14ac:dyDescent="0.35">
      <c r="A135" t="s">
        <v>406</v>
      </c>
      <c r="B135">
        <v>23</v>
      </c>
      <c r="C135" t="s">
        <v>20</v>
      </c>
      <c r="D135" t="s">
        <v>29</v>
      </c>
      <c r="E135" t="s">
        <v>36</v>
      </c>
      <c r="F135" t="s">
        <v>30</v>
      </c>
      <c r="G135" s="1" t="s">
        <v>353</v>
      </c>
      <c r="H135" s="3">
        <v>237</v>
      </c>
      <c r="I135" t="s">
        <v>449</v>
      </c>
      <c r="J135" t="s">
        <v>64</v>
      </c>
      <c r="K135">
        <v>2.2000000000000002</v>
      </c>
      <c r="L135" s="1" t="s">
        <v>407</v>
      </c>
      <c r="M135" s="2">
        <v>0</v>
      </c>
      <c r="N135">
        <v>4.5</v>
      </c>
      <c r="O135">
        <v>4</v>
      </c>
      <c r="P135">
        <v>5</v>
      </c>
      <c r="Q135">
        <v>2</v>
      </c>
      <c r="S135" t="s">
        <v>27</v>
      </c>
    </row>
    <row r="136" spans="1:19" ht="87" x14ac:dyDescent="0.35">
      <c r="A136" t="s">
        <v>408</v>
      </c>
      <c r="B136">
        <v>31</v>
      </c>
      <c r="C136" t="s">
        <v>48</v>
      </c>
      <c r="D136" t="s">
        <v>42</v>
      </c>
      <c r="E136" t="s">
        <v>22</v>
      </c>
      <c r="F136" t="s">
        <v>30</v>
      </c>
      <c r="G136" s="1" t="s">
        <v>409</v>
      </c>
      <c r="H136" s="3">
        <v>1194</v>
      </c>
      <c r="I136" t="s">
        <v>68</v>
      </c>
      <c r="K136">
        <v>2.1</v>
      </c>
      <c r="L136" s="1" t="s">
        <v>410</v>
      </c>
      <c r="M136" s="2">
        <v>0</v>
      </c>
      <c r="N136">
        <v>5.4</v>
      </c>
      <c r="O136">
        <v>2</v>
      </c>
      <c r="P136">
        <v>6</v>
      </c>
      <c r="Q136">
        <v>2</v>
      </c>
      <c r="R136">
        <v>9.8000000000000007</v>
      </c>
      <c r="S136" t="s">
        <v>27</v>
      </c>
    </row>
    <row r="137" spans="1:19" ht="43.5" x14ac:dyDescent="0.35">
      <c r="A137" t="s">
        <v>411</v>
      </c>
      <c r="B137">
        <v>21</v>
      </c>
      <c r="C137" t="s">
        <v>48</v>
      </c>
      <c r="D137" t="s">
        <v>74</v>
      </c>
      <c r="E137" t="s">
        <v>36</v>
      </c>
      <c r="F137" t="s">
        <v>49</v>
      </c>
      <c r="G137" s="1" t="s">
        <v>37</v>
      </c>
      <c r="H137" s="3">
        <v>0</v>
      </c>
      <c r="I137" t="s">
        <v>137</v>
      </c>
      <c r="J137" t="s">
        <v>39</v>
      </c>
      <c r="K137">
        <v>2.9</v>
      </c>
      <c r="L137" s="1" t="s">
        <v>412</v>
      </c>
      <c r="M137" s="2">
        <v>20</v>
      </c>
      <c r="N137">
        <v>6.6</v>
      </c>
      <c r="O137">
        <v>2</v>
      </c>
      <c r="P137">
        <v>4</v>
      </c>
      <c r="R137">
        <v>5.5</v>
      </c>
    </row>
    <row r="138" spans="1:19" ht="58" x14ac:dyDescent="0.35">
      <c r="A138" t="s">
        <v>413</v>
      </c>
      <c r="B138">
        <v>34</v>
      </c>
      <c r="C138" t="s">
        <v>48</v>
      </c>
      <c r="D138" t="s">
        <v>61</v>
      </c>
      <c r="E138" t="s">
        <v>22</v>
      </c>
      <c r="F138" t="s">
        <v>104</v>
      </c>
      <c r="G138" s="1" t="s">
        <v>414</v>
      </c>
      <c r="H138" s="3">
        <v>874</v>
      </c>
      <c r="I138" t="s">
        <v>38</v>
      </c>
      <c r="J138" t="s">
        <v>39</v>
      </c>
      <c r="K138">
        <v>1.9</v>
      </c>
      <c r="L138" s="1" t="s">
        <v>415</v>
      </c>
      <c r="M138" s="2">
        <v>0</v>
      </c>
      <c r="N138">
        <v>5.0999999999999996</v>
      </c>
      <c r="O138">
        <v>4</v>
      </c>
      <c r="P138">
        <v>7</v>
      </c>
      <c r="Q138">
        <v>4.9000000000000004</v>
      </c>
      <c r="R138">
        <v>8.3000000000000007</v>
      </c>
      <c r="S138" t="s">
        <v>27</v>
      </c>
    </row>
    <row r="139" spans="1:19" ht="43.5" x14ac:dyDescent="0.35">
      <c r="A139" t="s">
        <v>416</v>
      </c>
      <c r="B139">
        <v>17</v>
      </c>
      <c r="C139" t="s">
        <v>20</v>
      </c>
      <c r="D139" t="s">
        <v>103</v>
      </c>
      <c r="E139" t="s">
        <v>36</v>
      </c>
      <c r="F139" t="s">
        <v>62</v>
      </c>
      <c r="G139" s="1" t="s">
        <v>97</v>
      </c>
      <c r="H139" s="3">
        <v>0</v>
      </c>
      <c r="I139" t="s">
        <v>449</v>
      </c>
      <c r="J139" t="s">
        <v>71</v>
      </c>
      <c r="K139">
        <v>9.5</v>
      </c>
      <c r="L139" s="1" t="s">
        <v>417</v>
      </c>
      <c r="M139" s="2">
        <v>25</v>
      </c>
      <c r="N139">
        <v>8.6</v>
      </c>
      <c r="O139">
        <v>3</v>
      </c>
      <c r="P139">
        <v>9</v>
      </c>
      <c r="Q139">
        <v>15.2</v>
      </c>
      <c r="R139">
        <v>5.7</v>
      </c>
      <c r="S139" t="s">
        <v>27</v>
      </c>
    </row>
    <row r="140" spans="1:19" ht="43.5" x14ac:dyDescent="0.35">
      <c r="A140" t="s">
        <v>418</v>
      </c>
      <c r="B140">
        <v>22</v>
      </c>
      <c r="C140" t="s">
        <v>48</v>
      </c>
      <c r="D140" t="s">
        <v>61</v>
      </c>
      <c r="E140" t="s">
        <v>36</v>
      </c>
      <c r="F140" t="s">
        <v>49</v>
      </c>
      <c r="G140" s="1" t="s">
        <v>149</v>
      </c>
      <c r="H140" s="3">
        <v>106</v>
      </c>
      <c r="I140" t="s">
        <v>38</v>
      </c>
      <c r="J140" t="s">
        <v>55</v>
      </c>
      <c r="K140">
        <v>4.9000000000000004</v>
      </c>
      <c r="L140" s="1" t="s">
        <v>419</v>
      </c>
      <c r="M140" s="2">
        <v>20</v>
      </c>
      <c r="N140">
        <v>5.5</v>
      </c>
      <c r="O140">
        <v>4</v>
      </c>
      <c r="P140">
        <v>6</v>
      </c>
      <c r="Q140">
        <v>8.1999999999999993</v>
      </c>
      <c r="R140">
        <v>8.1</v>
      </c>
      <c r="S140" t="s">
        <v>46</v>
      </c>
    </row>
    <row r="141" spans="1:19" ht="58" x14ac:dyDescent="0.35">
      <c r="A141" t="s">
        <v>420</v>
      </c>
      <c r="B141">
        <v>27</v>
      </c>
      <c r="C141" t="s">
        <v>48</v>
      </c>
      <c r="D141" t="s">
        <v>74</v>
      </c>
      <c r="E141" t="s">
        <v>36</v>
      </c>
      <c r="F141" t="s">
        <v>49</v>
      </c>
      <c r="G141" s="1" t="s">
        <v>353</v>
      </c>
      <c r="H141" s="3">
        <v>74</v>
      </c>
      <c r="I141" t="s">
        <v>38</v>
      </c>
      <c r="J141" t="s">
        <v>64</v>
      </c>
      <c r="K141">
        <v>1.9</v>
      </c>
      <c r="L141" s="1" t="s">
        <v>421</v>
      </c>
      <c r="M141" s="2">
        <v>0</v>
      </c>
      <c r="O141">
        <v>4</v>
      </c>
      <c r="P141">
        <v>7</v>
      </c>
      <c r="Q141">
        <v>1.4</v>
      </c>
      <c r="R141">
        <v>7.4</v>
      </c>
      <c r="S141" t="s">
        <v>27</v>
      </c>
    </row>
    <row r="142" spans="1:19" ht="72.5" x14ac:dyDescent="0.35">
      <c r="A142" t="s">
        <v>422</v>
      </c>
      <c r="B142">
        <v>40</v>
      </c>
      <c r="C142" t="s">
        <v>48</v>
      </c>
      <c r="D142" t="s">
        <v>113</v>
      </c>
      <c r="E142" t="s">
        <v>22</v>
      </c>
      <c r="F142" t="s">
        <v>62</v>
      </c>
      <c r="G142" s="1" t="s">
        <v>423</v>
      </c>
      <c r="H142" s="3">
        <v>3054</v>
      </c>
      <c r="I142" t="s">
        <v>38</v>
      </c>
      <c r="J142" t="s">
        <v>32</v>
      </c>
      <c r="K142">
        <v>1.5</v>
      </c>
      <c r="L142" s="1" t="s">
        <v>424</v>
      </c>
      <c r="M142" s="2">
        <v>0</v>
      </c>
      <c r="N142">
        <v>4</v>
      </c>
      <c r="O142">
        <v>2</v>
      </c>
      <c r="P142">
        <v>3</v>
      </c>
      <c r="Q142">
        <v>7.1</v>
      </c>
      <c r="R142">
        <v>7.6</v>
      </c>
      <c r="S142" t="s">
        <v>40</v>
      </c>
    </row>
    <row r="143" spans="1:19" ht="29" x14ac:dyDescent="0.35">
      <c r="A143" t="s">
        <v>425</v>
      </c>
      <c r="B143">
        <v>22</v>
      </c>
      <c r="C143" t="s">
        <v>20</v>
      </c>
      <c r="D143" t="s">
        <v>113</v>
      </c>
      <c r="E143" t="s">
        <v>36</v>
      </c>
      <c r="F143" t="s">
        <v>30</v>
      </c>
      <c r="G143" s="1" t="s">
        <v>37</v>
      </c>
      <c r="H143" s="3">
        <v>442</v>
      </c>
      <c r="I143" t="s">
        <v>38</v>
      </c>
      <c r="J143" t="s">
        <v>39</v>
      </c>
      <c r="K143">
        <v>1</v>
      </c>
      <c r="M143" s="2">
        <v>0</v>
      </c>
      <c r="N143">
        <v>3.6</v>
      </c>
      <c r="O143">
        <v>2</v>
      </c>
      <c r="P143">
        <v>5</v>
      </c>
      <c r="Q143">
        <v>0</v>
      </c>
      <c r="R143">
        <v>5.6</v>
      </c>
      <c r="S143" t="s">
        <v>27</v>
      </c>
    </row>
    <row r="144" spans="1:19" ht="58" x14ac:dyDescent="0.35">
      <c r="A144" t="s">
        <v>426</v>
      </c>
      <c r="B144">
        <v>23</v>
      </c>
      <c r="C144" t="s">
        <v>48</v>
      </c>
      <c r="D144" t="s">
        <v>96</v>
      </c>
      <c r="E144" t="s">
        <v>36</v>
      </c>
      <c r="F144" t="s">
        <v>49</v>
      </c>
      <c r="G144" s="1" t="s">
        <v>340</v>
      </c>
      <c r="H144" s="3">
        <v>77</v>
      </c>
      <c r="I144" t="s">
        <v>116</v>
      </c>
      <c r="J144" t="s">
        <v>76</v>
      </c>
      <c r="K144">
        <v>1.5</v>
      </c>
      <c r="L144" s="1" t="s">
        <v>427</v>
      </c>
      <c r="M144" s="2">
        <v>0</v>
      </c>
      <c r="N144">
        <v>3.4</v>
      </c>
      <c r="O144">
        <v>2</v>
      </c>
      <c r="P144">
        <v>4</v>
      </c>
      <c r="Q144">
        <v>2.2000000000000002</v>
      </c>
      <c r="R144">
        <v>8</v>
      </c>
      <c r="S144" t="s">
        <v>40</v>
      </c>
    </row>
    <row r="145" spans="1:19" ht="72.5" x14ac:dyDescent="0.35">
      <c r="A145" t="s">
        <v>428</v>
      </c>
      <c r="C145" t="s">
        <v>20</v>
      </c>
      <c r="D145" t="s">
        <v>35</v>
      </c>
      <c r="E145" t="s">
        <v>22</v>
      </c>
      <c r="F145" t="s">
        <v>30</v>
      </c>
      <c r="G145" s="1" t="s">
        <v>31</v>
      </c>
      <c r="H145" s="3">
        <v>6705</v>
      </c>
      <c r="I145" t="s">
        <v>137</v>
      </c>
      <c r="J145" t="s">
        <v>32</v>
      </c>
      <c r="K145">
        <v>9.6999999999999993</v>
      </c>
      <c r="L145" s="1" t="s">
        <v>429</v>
      </c>
      <c r="M145" s="2">
        <v>20</v>
      </c>
      <c r="N145">
        <v>7.7</v>
      </c>
      <c r="O145">
        <v>5</v>
      </c>
      <c r="P145">
        <v>9</v>
      </c>
      <c r="R145">
        <v>11.6</v>
      </c>
      <c r="S145" t="s">
        <v>27</v>
      </c>
    </row>
    <row r="146" spans="1:19" ht="72.5" x14ac:dyDescent="0.35">
      <c r="A146" t="s">
        <v>430</v>
      </c>
      <c r="B146">
        <v>36</v>
      </c>
      <c r="C146" t="s">
        <v>20</v>
      </c>
      <c r="D146" t="s">
        <v>96</v>
      </c>
      <c r="E146" t="s">
        <v>22</v>
      </c>
      <c r="F146" t="s">
        <v>30</v>
      </c>
      <c r="G146" s="1" t="s">
        <v>310</v>
      </c>
      <c r="H146" s="3">
        <v>987</v>
      </c>
      <c r="I146" t="s">
        <v>38</v>
      </c>
      <c r="J146" t="s">
        <v>39</v>
      </c>
      <c r="K146">
        <v>1.5</v>
      </c>
      <c r="L146" s="1" t="s">
        <v>431</v>
      </c>
      <c r="M146" s="2">
        <v>0</v>
      </c>
      <c r="N146">
        <v>4.2</v>
      </c>
      <c r="O146">
        <v>3</v>
      </c>
      <c r="P146">
        <v>6</v>
      </c>
      <c r="Q146">
        <v>1.8</v>
      </c>
      <c r="R146">
        <v>7.6</v>
      </c>
      <c r="S146" t="s">
        <v>46</v>
      </c>
    </row>
    <row r="147" spans="1:19" ht="43.5" x14ac:dyDescent="0.35">
      <c r="A147" t="s">
        <v>432</v>
      </c>
      <c r="B147">
        <v>23</v>
      </c>
      <c r="C147" t="s">
        <v>48</v>
      </c>
      <c r="D147" t="s">
        <v>21</v>
      </c>
      <c r="E147" t="s">
        <v>36</v>
      </c>
      <c r="F147" t="s">
        <v>62</v>
      </c>
      <c r="G147" s="1" t="s">
        <v>132</v>
      </c>
      <c r="H147" s="3">
        <v>109</v>
      </c>
      <c r="I147" t="s">
        <v>38</v>
      </c>
      <c r="J147" t="s">
        <v>119</v>
      </c>
      <c r="K147">
        <v>0.6</v>
      </c>
      <c r="L147" s="1" t="s">
        <v>433</v>
      </c>
      <c r="M147" s="2">
        <v>25</v>
      </c>
      <c r="N147">
        <v>2.1</v>
      </c>
      <c r="O147">
        <v>4</v>
      </c>
      <c r="P147">
        <v>6</v>
      </c>
      <c r="Q147">
        <v>0.1</v>
      </c>
      <c r="R147">
        <v>2.2999999999999998</v>
      </c>
      <c r="S147" t="s">
        <v>40</v>
      </c>
    </row>
    <row r="148" spans="1:19" ht="58" x14ac:dyDescent="0.35">
      <c r="A148" t="s">
        <v>434</v>
      </c>
      <c r="B148">
        <v>37</v>
      </c>
      <c r="C148" t="s">
        <v>20</v>
      </c>
      <c r="D148" t="s">
        <v>103</v>
      </c>
      <c r="E148" t="s">
        <v>22</v>
      </c>
      <c r="F148" t="s">
        <v>30</v>
      </c>
      <c r="G148" s="1" t="s">
        <v>162</v>
      </c>
      <c r="H148" s="3">
        <v>889</v>
      </c>
      <c r="I148" t="s">
        <v>38</v>
      </c>
      <c r="J148" t="s">
        <v>71</v>
      </c>
      <c r="K148">
        <v>3.3</v>
      </c>
      <c r="L148" s="1" t="s">
        <v>435</v>
      </c>
      <c r="M148" s="2">
        <v>0</v>
      </c>
      <c r="N148">
        <v>7.8</v>
      </c>
      <c r="O148">
        <v>4</v>
      </c>
      <c r="P148">
        <v>7</v>
      </c>
      <c r="Q148">
        <v>6.5</v>
      </c>
      <c r="R148">
        <v>8.9</v>
      </c>
      <c r="S148" t="s">
        <v>27</v>
      </c>
    </row>
    <row r="149" spans="1:19" ht="43.5" x14ac:dyDescent="0.35">
      <c r="A149" t="s">
        <v>436</v>
      </c>
      <c r="B149">
        <v>21</v>
      </c>
      <c r="C149" t="s">
        <v>20</v>
      </c>
      <c r="D149" t="s">
        <v>748</v>
      </c>
      <c r="E149" t="s">
        <v>36</v>
      </c>
      <c r="F149" t="s">
        <v>62</v>
      </c>
      <c r="G149" s="1" t="s">
        <v>97</v>
      </c>
      <c r="H149" s="3">
        <v>59</v>
      </c>
      <c r="I149" t="s">
        <v>38</v>
      </c>
      <c r="J149" t="s">
        <v>71</v>
      </c>
      <c r="K149">
        <v>3</v>
      </c>
      <c r="L149" s="1" t="s">
        <v>437</v>
      </c>
      <c r="M149" s="2">
        <v>25</v>
      </c>
      <c r="N149">
        <v>4.5</v>
      </c>
      <c r="O149">
        <v>4</v>
      </c>
      <c r="P149">
        <v>7</v>
      </c>
      <c r="Q149">
        <v>4.9000000000000004</v>
      </c>
      <c r="R149">
        <v>8.4</v>
      </c>
      <c r="S149" t="s">
        <v>27</v>
      </c>
    </row>
    <row r="150" spans="1:19" ht="87" x14ac:dyDescent="0.35">
      <c r="A150" t="s">
        <v>438</v>
      </c>
      <c r="B150">
        <v>55</v>
      </c>
      <c r="C150" t="s">
        <v>195</v>
      </c>
      <c r="D150" t="s">
        <v>42</v>
      </c>
      <c r="E150" t="s">
        <v>22</v>
      </c>
      <c r="F150" t="s">
        <v>23</v>
      </c>
      <c r="G150" s="1" t="s">
        <v>439</v>
      </c>
      <c r="H150" s="3">
        <v>2116</v>
      </c>
      <c r="I150" t="s">
        <v>178</v>
      </c>
      <c r="J150" t="s">
        <v>76</v>
      </c>
      <c r="K150">
        <v>1.4</v>
      </c>
      <c r="L150" s="1" t="s">
        <v>440</v>
      </c>
      <c r="M150" s="2">
        <v>0</v>
      </c>
      <c r="N150">
        <v>3.9</v>
      </c>
      <c r="O150">
        <v>2</v>
      </c>
      <c r="P150">
        <v>4</v>
      </c>
      <c r="Q150">
        <v>1.6</v>
      </c>
      <c r="R150">
        <v>8.3000000000000007</v>
      </c>
      <c r="S150" t="s">
        <v>27</v>
      </c>
    </row>
    <row r="151" spans="1:19" ht="58" x14ac:dyDescent="0.35">
      <c r="A151" t="s">
        <v>441</v>
      </c>
      <c r="B151">
        <v>29</v>
      </c>
      <c r="C151" t="s">
        <v>20</v>
      </c>
      <c r="D151" t="s">
        <v>61</v>
      </c>
      <c r="E151" t="s">
        <v>22</v>
      </c>
      <c r="F151" t="s">
        <v>30</v>
      </c>
      <c r="G151" s="1" t="s">
        <v>216</v>
      </c>
      <c r="H151" s="3">
        <v>765</v>
      </c>
      <c r="I151" t="s">
        <v>449</v>
      </c>
      <c r="J151" t="s">
        <v>55</v>
      </c>
      <c r="K151">
        <v>2.8</v>
      </c>
      <c r="L151" s="1" t="s">
        <v>442</v>
      </c>
      <c r="M151" s="2">
        <v>0</v>
      </c>
      <c r="N151">
        <v>6.6</v>
      </c>
      <c r="O151">
        <v>4</v>
      </c>
      <c r="P151">
        <v>9</v>
      </c>
      <c r="Q151">
        <v>9.4</v>
      </c>
      <c r="R151">
        <v>11.3</v>
      </c>
      <c r="S151" t="s">
        <v>27</v>
      </c>
    </row>
    <row r="152" spans="1:19" ht="58" x14ac:dyDescent="0.35">
      <c r="A152" t="s">
        <v>443</v>
      </c>
      <c r="B152">
        <v>63</v>
      </c>
      <c r="C152" t="s">
        <v>20</v>
      </c>
      <c r="D152" t="s">
        <v>82</v>
      </c>
      <c r="E152" t="s">
        <v>22</v>
      </c>
      <c r="F152" t="s">
        <v>30</v>
      </c>
      <c r="G152" s="1" t="s">
        <v>444</v>
      </c>
      <c r="H152" s="3">
        <v>7178</v>
      </c>
      <c r="I152" t="s">
        <v>38</v>
      </c>
      <c r="J152" t="s">
        <v>71</v>
      </c>
      <c r="K152">
        <v>2.2999999999999998</v>
      </c>
      <c r="L152" s="1" t="s">
        <v>445</v>
      </c>
      <c r="N152">
        <v>4.8</v>
      </c>
      <c r="O152">
        <v>3</v>
      </c>
      <c r="P152">
        <v>5</v>
      </c>
      <c r="Q152">
        <v>2</v>
      </c>
      <c r="R152">
        <v>5.9</v>
      </c>
      <c r="S152" t="s">
        <v>40</v>
      </c>
    </row>
    <row r="153" spans="1:19" ht="58" x14ac:dyDescent="0.35">
      <c r="A153" t="s">
        <v>448</v>
      </c>
      <c r="B153">
        <v>21</v>
      </c>
      <c r="C153" t="s">
        <v>48</v>
      </c>
      <c r="D153" t="s">
        <v>29</v>
      </c>
      <c r="E153" t="s">
        <v>36</v>
      </c>
      <c r="F153" t="s">
        <v>49</v>
      </c>
      <c r="G153" s="1" t="s">
        <v>50</v>
      </c>
      <c r="H153" s="3">
        <v>98</v>
      </c>
      <c r="I153" t="s">
        <v>449</v>
      </c>
      <c r="K153">
        <v>4.0999999999999996</v>
      </c>
      <c r="L153" s="1" t="s">
        <v>450</v>
      </c>
      <c r="M153" s="2">
        <v>0</v>
      </c>
      <c r="N153">
        <v>6.2</v>
      </c>
      <c r="O153">
        <v>4</v>
      </c>
      <c r="P153">
        <v>7</v>
      </c>
      <c r="Q153">
        <v>4.3</v>
      </c>
      <c r="R153">
        <v>4.5999999999999996</v>
      </c>
      <c r="S153" t="s">
        <v>27</v>
      </c>
    </row>
    <row r="154" spans="1:19" ht="43.5" x14ac:dyDescent="0.35">
      <c r="A154" t="s">
        <v>454</v>
      </c>
      <c r="B154">
        <v>39</v>
      </c>
      <c r="C154" t="s">
        <v>20</v>
      </c>
      <c r="D154" t="s">
        <v>103</v>
      </c>
      <c r="E154" t="s">
        <v>22</v>
      </c>
      <c r="F154" t="s">
        <v>62</v>
      </c>
      <c r="G154" s="1" t="s">
        <v>140</v>
      </c>
      <c r="H154" s="3">
        <v>488</v>
      </c>
      <c r="I154" t="s">
        <v>137</v>
      </c>
      <c r="J154" t="s">
        <v>76</v>
      </c>
      <c r="K154">
        <v>1.2</v>
      </c>
      <c r="L154" s="1" t="s">
        <v>455</v>
      </c>
      <c r="M154" s="2">
        <v>20</v>
      </c>
      <c r="N154">
        <v>3.4</v>
      </c>
      <c r="O154">
        <v>3</v>
      </c>
      <c r="Q154">
        <v>2.9</v>
      </c>
      <c r="R154">
        <v>6.8</v>
      </c>
      <c r="S154" t="s">
        <v>46</v>
      </c>
    </row>
    <row r="155" spans="1:19" ht="58" x14ac:dyDescent="0.35">
      <c r="A155" t="s">
        <v>456</v>
      </c>
      <c r="B155">
        <v>17</v>
      </c>
      <c r="C155" t="s">
        <v>20</v>
      </c>
      <c r="D155" t="s">
        <v>74</v>
      </c>
      <c r="E155" t="s">
        <v>36</v>
      </c>
      <c r="F155" t="s">
        <v>30</v>
      </c>
      <c r="G155" s="1" t="s">
        <v>144</v>
      </c>
      <c r="H155" s="3">
        <v>75</v>
      </c>
      <c r="I155" t="s">
        <v>449</v>
      </c>
      <c r="J155" t="s">
        <v>119</v>
      </c>
      <c r="K155">
        <v>5.9</v>
      </c>
      <c r="L155" s="1" t="s">
        <v>457</v>
      </c>
      <c r="M155" s="2">
        <v>0</v>
      </c>
      <c r="N155">
        <v>6.1</v>
      </c>
      <c r="O155">
        <v>2</v>
      </c>
      <c r="P155">
        <v>5</v>
      </c>
      <c r="Q155">
        <v>12.1</v>
      </c>
      <c r="S155" t="s">
        <v>40</v>
      </c>
    </row>
    <row r="156" spans="1:19" ht="58" x14ac:dyDescent="0.35">
      <c r="A156" t="s">
        <v>309</v>
      </c>
      <c r="B156">
        <v>35</v>
      </c>
      <c r="C156" t="s">
        <v>48</v>
      </c>
      <c r="D156" t="s">
        <v>82</v>
      </c>
      <c r="E156" t="s">
        <v>22</v>
      </c>
      <c r="F156" t="s">
        <v>30</v>
      </c>
      <c r="G156" s="1" t="s">
        <v>310</v>
      </c>
      <c r="H156" s="3">
        <v>6399</v>
      </c>
      <c r="I156" t="s">
        <v>38</v>
      </c>
      <c r="J156" t="s">
        <v>39</v>
      </c>
      <c r="K156">
        <v>1.3</v>
      </c>
      <c r="L156" s="1" t="s">
        <v>311</v>
      </c>
      <c r="M156" s="2">
        <v>20</v>
      </c>
      <c r="N156">
        <v>3.1</v>
      </c>
      <c r="O156">
        <v>3</v>
      </c>
      <c r="P156">
        <v>4</v>
      </c>
      <c r="Q156">
        <v>4.3</v>
      </c>
      <c r="R156">
        <v>8.1</v>
      </c>
      <c r="S156" t="s">
        <v>40</v>
      </c>
    </row>
    <row r="157" spans="1:19" ht="58" x14ac:dyDescent="0.35">
      <c r="A157" t="s">
        <v>458</v>
      </c>
      <c r="B157">
        <v>18</v>
      </c>
      <c r="C157" t="s">
        <v>48</v>
      </c>
      <c r="D157" t="s">
        <v>96</v>
      </c>
      <c r="E157" t="s">
        <v>36</v>
      </c>
      <c r="F157" t="s">
        <v>49</v>
      </c>
      <c r="G157" s="1" t="s">
        <v>149</v>
      </c>
      <c r="H157" s="3">
        <v>66</v>
      </c>
      <c r="I157" t="s">
        <v>38</v>
      </c>
      <c r="K157">
        <v>1.1000000000000001</v>
      </c>
      <c r="L157" s="1" t="s">
        <v>459</v>
      </c>
      <c r="M157" s="2">
        <v>20</v>
      </c>
      <c r="N157">
        <v>4.0999999999999996</v>
      </c>
      <c r="P157">
        <v>7</v>
      </c>
      <c r="Q157">
        <v>5.6</v>
      </c>
      <c r="R157">
        <v>6.3</v>
      </c>
      <c r="S157" t="s">
        <v>27</v>
      </c>
    </row>
    <row r="158" spans="1:19" ht="72.5" x14ac:dyDescent="0.35">
      <c r="A158" t="s">
        <v>460</v>
      </c>
      <c r="C158" t="s">
        <v>20</v>
      </c>
      <c r="D158" t="s">
        <v>82</v>
      </c>
      <c r="E158" t="s">
        <v>36</v>
      </c>
      <c r="F158" t="s">
        <v>49</v>
      </c>
      <c r="G158" s="1" t="s">
        <v>461</v>
      </c>
      <c r="H158" s="3">
        <v>133</v>
      </c>
      <c r="I158" t="s">
        <v>38</v>
      </c>
      <c r="J158" t="s">
        <v>119</v>
      </c>
      <c r="K158">
        <v>1.2</v>
      </c>
      <c r="L158" s="1" t="s">
        <v>462</v>
      </c>
      <c r="M158" s="2">
        <v>0</v>
      </c>
      <c r="N158">
        <v>2.6</v>
      </c>
      <c r="O158">
        <v>4</v>
      </c>
      <c r="P158">
        <v>7</v>
      </c>
      <c r="Q158">
        <v>5.3</v>
      </c>
      <c r="R158">
        <v>7.1</v>
      </c>
      <c r="S158" t="s">
        <v>27</v>
      </c>
    </row>
    <row r="159" spans="1:19" ht="58" x14ac:dyDescent="0.35">
      <c r="A159" t="s">
        <v>463</v>
      </c>
      <c r="B159">
        <v>16</v>
      </c>
      <c r="C159" t="s">
        <v>20</v>
      </c>
      <c r="D159" t="s">
        <v>96</v>
      </c>
      <c r="E159" t="s">
        <v>36</v>
      </c>
      <c r="F159" t="s">
        <v>23</v>
      </c>
      <c r="G159" s="1" t="s">
        <v>464</v>
      </c>
      <c r="H159" s="3">
        <v>96</v>
      </c>
      <c r="I159" t="s">
        <v>38</v>
      </c>
      <c r="J159" t="s">
        <v>119</v>
      </c>
      <c r="K159">
        <v>0.7</v>
      </c>
      <c r="L159" s="1" t="s">
        <v>465</v>
      </c>
      <c r="M159" s="2">
        <v>0</v>
      </c>
      <c r="N159">
        <v>4.3</v>
      </c>
      <c r="O159">
        <v>4</v>
      </c>
      <c r="P159">
        <v>7</v>
      </c>
      <c r="Q159">
        <v>0</v>
      </c>
      <c r="S159" t="s">
        <v>27</v>
      </c>
    </row>
    <row r="160" spans="1:19" ht="58" x14ac:dyDescent="0.35">
      <c r="A160" t="s">
        <v>466</v>
      </c>
      <c r="B160">
        <v>23</v>
      </c>
      <c r="C160" t="s">
        <v>48</v>
      </c>
      <c r="D160" t="s">
        <v>21</v>
      </c>
      <c r="E160" t="s">
        <v>36</v>
      </c>
      <c r="F160" t="s">
        <v>30</v>
      </c>
      <c r="G160" s="1" t="s">
        <v>97</v>
      </c>
      <c r="H160" s="3">
        <v>504</v>
      </c>
      <c r="I160" t="s">
        <v>38</v>
      </c>
      <c r="K160">
        <v>0.6</v>
      </c>
      <c r="L160" s="1" t="s">
        <v>467</v>
      </c>
      <c r="M160" s="2">
        <v>20</v>
      </c>
      <c r="N160">
        <v>1.9</v>
      </c>
      <c r="O160">
        <v>3</v>
      </c>
      <c r="P160">
        <v>4</v>
      </c>
      <c r="Q160">
        <v>0</v>
      </c>
      <c r="R160">
        <v>4.5</v>
      </c>
      <c r="S160" t="s">
        <v>27</v>
      </c>
    </row>
    <row r="161" spans="1:19" ht="58" x14ac:dyDescent="0.35">
      <c r="A161" t="s">
        <v>468</v>
      </c>
      <c r="B161">
        <v>24</v>
      </c>
      <c r="C161" t="s">
        <v>48</v>
      </c>
      <c r="D161" t="s">
        <v>74</v>
      </c>
      <c r="E161" t="s">
        <v>36</v>
      </c>
      <c r="G161" s="1" t="s">
        <v>97</v>
      </c>
      <c r="H161" s="3">
        <v>95</v>
      </c>
      <c r="I161" t="s">
        <v>449</v>
      </c>
      <c r="J161" t="s">
        <v>71</v>
      </c>
      <c r="K161">
        <v>3.7</v>
      </c>
      <c r="L161" s="1" t="s">
        <v>469</v>
      </c>
      <c r="M161" s="2">
        <v>0</v>
      </c>
      <c r="N161">
        <v>7.7</v>
      </c>
      <c r="O161">
        <v>4</v>
      </c>
      <c r="P161">
        <v>7</v>
      </c>
      <c r="Q161">
        <v>9.9</v>
      </c>
      <c r="R161">
        <v>9</v>
      </c>
      <c r="S161" t="s">
        <v>46</v>
      </c>
    </row>
    <row r="162" spans="1:19" x14ac:dyDescent="0.35">
      <c r="A162" t="s">
        <v>91</v>
      </c>
      <c r="B162">
        <v>16</v>
      </c>
      <c r="C162" t="s">
        <v>20</v>
      </c>
      <c r="D162" t="s">
        <v>35</v>
      </c>
      <c r="E162" t="s">
        <v>36</v>
      </c>
      <c r="F162" t="s">
        <v>23</v>
      </c>
      <c r="H162" s="3">
        <v>324</v>
      </c>
      <c r="I162" t="s">
        <v>449</v>
      </c>
      <c r="J162" t="s">
        <v>39</v>
      </c>
      <c r="K162">
        <v>7.1</v>
      </c>
      <c r="M162" s="2">
        <v>20</v>
      </c>
      <c r="O162">
        <v>2</v>
      </c>
      <c r="P162">
        <v>5</v>
      </c>
      <c r="Q162">
        <v>11.6</v>
      </c>
      <c r="R162">
        <v>3</v>
      </c>
      <c r="S162" t="s">
        <v>40</v>
      </c>
    </row>
    <row r="163" spans="1:19" ht="29" x14ac:dyDescent="0.35">
      <c r="A163" t="s">
        <v>470</v>
      </c>
      <c r="B163">
        <v>20</v>
      </c>
      <c r="C163" t="s">
        <v>48</v>
      </c>
      <c r="D163" t="s">
        <v>42</v>
      </c>
      <c r="E163" t="s">
        <v>36</v>
      </c>
      <c r="F163" t="s">
        <v>787</v>
      </c>
      <c r="G163" s="1" t="s">
        <v>471</v>
      </c>
      <c r="H163" s="3">
        <v>238</v>
      </c>
      <c r="I163" t="s">
        <v>472</v>
      </c>
      <c r="J163" t="s">
        <v>64</v>
      </c>
      <c r="K163">
        <v>1</v>
      </c>
      <c r="M163" s="2">
        <v>0</v>
      </c>
      <c r="P163">
        <v>6</v>
      </c>
      <c r="Q163">
        <v>2.7</v>
      </c>
      <c r="R163">
        <v>6.2</v>
      </c>
      <c r="S163" t="s">
        <v>46</v>
      </c>
    </row>
    <row r="164" spans="1:19" ht="43.5" x14ac:dyDescent="0.35">
      <c r="A164" t="s">
        <v>473</v>
      </c>
      <c r="B164">
        <v>23</v>
      </c>
      <c r="C164" t="s">
        <v>48</v>
      </c>
      <c r="D164" t="s">
        <v>74</v>
      </c>
      <c r="E164" t="s">
        <v>36</v>
      </c>
      <c r="F164" t="s">
        <v>62</v>
      </c>
      <c r="G164" s="1" t="s">
        <v>50</v>
      </c>
      <c r="H164" s="3">
        <v>0</v>
      </c>
      <c r="I164" t="s">
        <v>178</v>
      </c>
      <c r="J164" t="s">
        <v>119</v>
      </c>
      <c r="K164">
        <v>0.8</v>
      </c>
      <c r="L164" s="1" t="s">
        <v>474</v>
      </c>
      <c r="M164" s="2">
        <v>20</v>
      </c>
      <c r="N164">
        <v>4.3</v>
      </c>
      <c r="O164">
        <v>4</v>
      </c>
      <c r="P164">
        <v>5</v>
      </c>
      <c r="Q164">
        <v>2.9</v>
      </c>
      <c r="R164">
        <v>8.6</v>
      </c>
      <c r="S164" t="s">
        <v>27</v>
      </c>
    </row>
    <row r="165" spans="1:19" ht="43.5" x14ac:dyDescent="0.35">
      <c r="A165" t="s">
        <v>475</v>
      </c>
      <c r="B165">
        <v>22</v>
      </c>
      <c r="C165" t="s">
        <v>48</v>
      </c>
      <c r="D165" t="s">
        <v>748</v>
      </c>
      <c r="E165" t="s">
        <v>36</v>
      </c>
      <c r="F165" t="s">
        <v>30</v>
      </c>
      <c r="G165" s="1" t="s">
        <v>476</v>
      </c>
      <c r="H165" s="3">
        <v>0</v>
      </c>
      <c r="I165" t="s">
        <v>38</v>
      </c>
      <c r="J165" t="s">
        <v>71</v>
      </c>
      <c r="K165">
        <v>2.5</v>
      </c>
      <c r="L165" s="1" t="s">
        <v>477</v>
      </c>
      <c r="M165" s="2">
        <v>10</v>
      </c>
      <c r="N165">
        <v>5.2</v>
      </c>
      <c r="O165">
        <v>2</v>
      </c>
      <c r="P165">
        <v>5</v>
      </c>
      <c r="Q165">
        <v>4.4000000000000004</v>
      </c>
      <c r="R165">
        <v>7.8</v>
      </c>
      <c r="S165" t="s">
        <v>40</v>
      </c>
    </row>
    <row r="166" spans="1:19" ht="58" x14ac:dyDescent="0.35">
      <c r="A166" t="s">
        <v>478</v>
      </c>
      <c r="B166">
        <v>23</v>
      </c>
      <c r="C166" t="s">
        <v>48</v>
      </c>
      <c r="D166" t="s">
        <v>96</v>
      </c>
      <c r="E166" t="s">
        <v>36</v>
      </c>
      <c r="F166" t="s">
        <v>49</v>
      </c>
      <c r="G166" s="1" t="s">
        <v>353</v>
      </c>
      <c r="H166" s="3">
        <v>100</v>
      </c>
      <c r="I166" t="s">
        <v>51</v>
      </c>
      <c r="J166" t="s">
        <v>64</v>
      </c>
      <c r="L166" s="1" t="s">
        <v>479</v>
      </c>
      <c r="M166" s="2">
        <v>25</v>
      </c>
      <c r="N166">
        <v>4.7</v>
      </c>
      <c r="O166">
        <v>3</v>
      </c>
      <c r="P166">
        <v>5</v>
      </c>
      <c r="Q166">
        <v>2.1</v>
      </c>
      <c r="R166">
        <v>6</v>
      </c>
      <c r="S166" t="s">
        <v>27</v>
      </c>
    </row>
    <row r="167" spans="1:19" ht="87" x14ac:dyDescent="0.35">
      <c r="A167" t="s">
        <v>480</v>
      </c>
      <c r="B167">
        <v>61</v>
      </c>
      <c r="C167" t="s">
        <v>20</v>
      </c>
      <c r="D167" t="s">
        <v>42</v>
      </c>
      <c r="E167" t="s">
        <v>22</v>
      </c>
      <c r="F167" t="s">
        <v>23</v>
      </c>
      <c r="G167" s="1" t="s">
        <v>481</v>
      </c>
      <c r="H167" s="3">
        <v>1884</v>
      </c>
      <c r="I167" t="s">
        <v>178</v>
      </c>
      <c r="J167" t="s">
        <v>55</v>
      </c>
      <c r="K167">
        <v>1.5</v>
      </c>
      <c r="L167" s="1" t="s">
        <v>482</v>
      </c>
      <c r="M167" s="2">
        <v>10</v>
      </c>
      <c r="N167">
        <v>4.9000000000000004</v>
      </c>
      <c r="P167">
        <v>4</v>
      </c>
      <c r="R167">
        <v>7.7</v>
      </c>
      <c r="S167" t="s">
        <v>27</v>
      </c>
    </row>
    <row r="168" spans="1:19" ht="58" x14ac:dyDescent="0.35">
      <c r="A168" t="s">
        <v>483</v>
      </c>
      <c r="B168">
        <v>17</v>
      </c>
      <c r="C168" t="s">
        <v>20</v>
      </c>
      <c r="D168" t="s">
        <v>748</v>
      </c>
      <c r="E168" t="s">
        <v>36</v>
      </c>
      <c r="F168" t="s">
        <v>49</v>
      </c>
      <c r="G168" s="1" t="s">
        <v>484</v>
      </c>
      <c r="H168" s="3">
        <v>387</v>
      </c>
      <c r="I168" t="s">
        <v>449</v>
      </c>
      <c r="J168" t="s">
        <v>64</v>
      </c>
      <c r="K168">
        <v>1.5</v>
      </c>
      <c r="L168" s="1" t="s">
        <v>485</v>
      </c>
      <c r="M168" s="2">
        <v>10</v>
      </c>
      <c r="N168">
        <v>6.2</v>
      </c>
      <c r="O168">
        <v>3</v>
      </c>
      <c r="P168">
        <v>6</v>
      </c>
      <c r="Q168">
        <v>7.5</v>
      </c>
      <c r="S168" t="s">
        <v>40</v>
      </c>
    </row>
    <row r="169" spans="1:19" ht="58" x14ac:dyDescent="0.35">
      <c r="A169" t="s">
        <v>486</v>
      </c>
      <c r="B169">
        <v>25</v>
      </c>
      <c r="C169" t="s">
        <v>48</v>
      </c>
      <c r="D169" t="s">
        <v>748</v>
      </c>
      <c r="E169" t="s">
        <v>22</v>
      </c>
      <c r="F169" t="s">
        <v>787</v>
      </c>
      <c r="G169" s="1" t="s">
        <v>487</v>
      </c>
      <c r="H169" s="3">
        <v>1632</v>
      </c>
      <c r="I169" t="s">
        <v>38</v>
      </c>
      <c r="J169" t="s">
        <v>64</v>
      </c>
      <c r="K169">
        <v>4.4000000000000004</v>
      </c>
      <c r="L169" s="1" t="s">
        <v>488</v>
      </c>
      <c r="M169" s="2">
        <v>0</v>
      </c>
      <c r="N169">
        <v>7.8</v>
      </c>
      <c r="O169">
        <v>4</v>
      </c>
      <c r="P169">
        <v>9</v>
      </c>
      <c r="Q169">
        <v>7.1</v>
      </c>
      <c r="R169">
        <v>5.8</v>
      </c>
      <c r="S169" t="s">
        <v>27</v>
      </c>
    </row>
    <row r="170" spans="1:19" ht="72.5" x14ac:dyDescent="0.35">
      <c r="A170" t="s">
        <v>489</v>
      </c>
      <c r="B170">
        <v>49</v>
      </c>
      <c r="C170" t="s">
        <v>48</v>
      </c>
      <c r="D170" t="s">
        <v>61</v>
      </c>
      <c r="E170" t="s">
        <v>22</v>
      </c>
      <c r="F170" t="s">
        <v>787</v>
      </c>
      <c r="G170" s="1" t="s">
        <v>402</v>
      </c>
      <c r="H170" s="3">
        <v>1193</v>
      </c>
      <c r="I170" t="s">
        <v>38</v>
      </c>
      <c r="J170" t="s">
        <v>55</v>
      </c>
      <c r="K170">
        <v>5.8</v>
      </c>
      <c r="L170" s="1" t="s">
        <v>490</v>
      </c>
      <c r="M170" s="2">
        <v>20</v>
      </c>
      <c r="N170">
        <v>8.1</v>
      </c>
      <c r="O170">
        <v>2</v>
      </c>
      <c r="P170">
        <v>6</v>
      </c>
      <c r="Q170">
        <v>13.5</v>
      </c>
      <c r="R170">
        <v>7.9</v>
      </c>
      <c r="S170" t="s">
        <v>46</v>
      </c>
    </row>
    <row r="171" spans="1:19" ht="58" x14ac:dyDescent="0.35">
      <c r="A171" t="s">
        <v>257</v>
      </c>
      <c r="B171">
        <v>46</v>
      </c>
      <c r="C171" t="s">
        <v>48</v>
      </c>
      <c r="D171" t="s">
        <v>21</v>
      </c>
      <c r="E171" t="s">
        <v>22</v>
      </c>
      <c r="F171" t="s">
        <v>30</v>
      </c>
      <c r="G171" s="1" t="s">
        <v>258</v>
      </c>
      <c r="H171" s="3">
        <v>3159</v>
      </c>
      <c r="I171" t="s">
        <v>51</v>
      </c>
      <c r="J171" t="s">
        <v>32</v>
      </c>
      <c r="K171">
        <v>1.9</v>
      </c>
      <c r="L171" s="1" t="s">
        <v>259</v>
      </c>
      <c r="M171" s="2">
        <v>0</v>
      </c>
      <c r="N171">
        <v>3.4</v>
      </c>
      <c r="P171">
        <v>7</v>
      </c>
      <c r="Q171">
        <v>4.0999999999999996</v>
      </c>
      <c r="R171">
        <v>8.6</v>
      </c>
      <c r="S171" t="s">
        <v>27</v>
      </c>
    </row>
    <row r="172" spans="1:19" ht="58" x14ac:dyDescent="0.35">
      <c r="A172" t="s">
        <v>491</v>
      </c>
      <c r="B172">
        <v>27</v>
      </c>
      <c r="C172" t="s">
        <v>48</v>
      </c>
      <c r="D172" t="s">
        <v>113</v>
      </c>
      <c r="E172" t="s">
        <v>22</v>
      </c>
      <c r="F172" t="s">
        <v>30</v>
      </c>
      <c r="G172" s="1" t="s">
        <v>492</v>
      </c>
      <c r="H172" s="3">
        <v>3622</v>
      </c>
      <c r="I172" t="s">
        <v>38</v>
      </c>
      <c r="J172" t="s">
        <v>39</v>
      </c>
      <c r="K172">
        <v>4</v>
      </c>
      <c r="L172" s="1" t="s">
        <v>493</v>
      </c>
      <c r="M172" s="2">
        <v>0</v>
      </c>
      <c r="N172">
        <v>5</v>
      </c>
      <c r="O172">
        <v>4</v>
      </c>
      <c r="P172">
        <v>6</v>
      </c>
      <c r="Q172">
        <v>5.7</v>
      </c>
      <c r="R172">
        <v>8.6</v>
      </c>
      <c r="S172" t="s">
        <v>27</v>
      </c>
    </row>
    <row r="173" spans="1:19" ht="72.5" x14ac:dyDescent="0.35">
      <c r="A173" t="s">
        <v>494</v>
      </c>
      <c r="B173">
        <v>26</v>
      </c>
      <c r="C173" t="s">
        <v>48</v>
      </c>
      <c r="D173" t="s">
        <v>82</v>
      </c>
      <c r="E173" t="s">
        <v>36</v>
      </c>
      <c r="F173" t="s">
        <v>23</v>
      </c>
      <c r="G173" s="1" t="s">
        <v>378</v>
      </c>
      <c r="H173" s="3">
        <v>661</v>
      </c>
      <c r="I173" t="s">
        <v>38</v>
      </c>
      <c r="J173" t="s">
        <v>71</v>
      </c>
      <c r="K173">
        <v>3.5</v>
      </c>
      <c r="L173" s="1" t="s">
        <v>495</v>
      </c>
      <c r="M173" s="2">
        <v>0</v>
      </c>
      <c r="N173">
        <v>4.9000000000000004</v>
      </c>
      <c r="O173">
        <v>3</v>
      </c>
      <c r="P173">
        <v>4</v>
      </c>
      <c r="Q173">
        <v>7</v>
      </c>
      <c r="R173">
        <v>6</v>
      </c>
      <c r="S173" t="s">
        <v>27</v>
      </c>
    </row>
    <row r="174" spans="1:19" ht="43.5" x14ac:dyDescent="0.35">
      <c r="A174" t="s">
        <v>496</v>
      </c>
      <c r="B174">
        <v>39</v>
      </c>
      <c r="C174" t="s">
        <v>20</v>
      </c>
      <c r="D174" t="s">
        <v>61</v>
      </c>
      <c r="E174" t="s">
        <v>22</v>
      </c>
      <c r="G174" s="1" t="s">
        <v>497</v>
      </c>
      <c r="H174" s="3">
        <v>1192</v>
      </c>
      <c r="I174" t="s">
        <v>38</v>
      </c>
      <c r="J174" t="s">
        <v>64</v>
      </c>
      <c r="K174">
        <v>1.4</v>
      </c>
      <c r="M174" s="2">
        <v>30</v>
      </c>
      <c r="N174">
        <v>3.5</v>
      </c>
      <c r="O174">
        <v>4</v>
      </c>
      <c r="P174">
        <v>6</v>
      </c>
      <c r="Q174">
        <v>3.8</v>
      </c>
      <c r="R174">
        <v>6.7</v>
      </c>
      <c r="S174" t="s">
        <v>27</v>
      </c>
    </row>
    <row r="175" spans="1:19" ht="58" x14ac:dyDescent="0.35">
      <c r="A175" t="s">
        <v>498</v>
      </c>
      <c r="B175">
        <v>22</v>
      </c>
      <c r="C175" t="s">
        <v>20</v>
      </c>
      <c r="D175" t="s">
        <v>29</v>
      </c>
      <c r="E175" t="s">
        <v>36</v>
      </c>
      <c r="F175" t="s">
        <v>62</v>
      </c>
      <c r="G175" s="1" t="s">
        <v>37</v>
      </c>
      <c r="H175" s="3">
        <v>0</v>
      </c>
      <c r="I175" t="s">
        <v>449</v>
      </c>
      <c r="K175">
        <v>5.5</v>
      </c>
      <c r="L175" s="1" t="s">
        <v>499</v>
      </c>
      <c r="M175" s="2">
        <v>0</v>
      </c>
      <c r="N175">
        <v>8.3000000000000007</v>
      </c>
      <c r="O175">
        <v>3</v>
      </c>
      <c r="P175">
        <v>8</v>
      </c>
      <c r="Q175">
        <v>10.9</v>
      </c>
      <c r="R175">
        <v>7.4</v>
      </c>
      <c r="S175" t="s">
        <v>27</v>
      </c>
    </row>
    <row r="176" spans="1:19" ht="72.5" x14ac:dyDescent="0.35">
      <c r="A176" t="s">
        <v>500</v>
      </c>
      <c r="B176">
        <v>22</v>
      </c>
      <c r="C176" t="s">
        <v>48</v>
      </c>
      <c r="D176" t="s">
        <v>82</v>
      </c>
      <c r="E176" t="s">
        <v>36</v>
      </c>
      <c r="F176" t="s">
        <v>49</v>
      </c>
      <c r="G176" s="1" t="s">
        <v>79</v>
      </c>
      <c r="H176" s="3">
        <v>613</v>
      </c>
      <c r="I176" t="s">
        <v>178</v>
      </c>
      <c r="J176" t="s">
        <v>119</v>
      </c>
      <c r="K176">
        <v>1.9</v>
      </c>
      <c r="L176" s="1" t="s">
        <v>501</v>
      </c>
      <c r="M176" s="2">
        <v>20</v>
      </c>
      <c r="N176">
        <v>5.6</v>
      </c>
      <c r="O176">
        <v>2</v>
      </c>
      <c r="P176">
        <v>4</v>
      </c>
      <c r="Q176">
        <v>8</v>
      </c>
      <c r="R176">
        <v>7.4</v>
      </c>
      <c r="S176" t="s">
        <v>40</v>
      </c>
    </row>
    <row r="177" spans="1:19" ht="72.5" x14ac:dyDescent="0.35">
      <c r="A177" t="s">
        <v>502</v>
      </c>
      <c r="B177">
        <v>48</v>
      </c>
      <c r="C177" t="s">
        <v>20</v>
      </c>
      <c r="D177" t="s">
        <v>21</v>
      </c>
      <c r="E177" t="s">
        <v>22</v>
      </c>
      <c r="F177" t="s">
        <v>30</v>
      </c>
      <c r="G177" s="1" t="s">
        <v>258</v>
      </c>
      <c r="H177" s="3">
        <v>5563</v>
      </c>
      <c r="I177" t="s">
        <v>38</v>
      </c>
      <c r="J177" t="s">
        <v>32</v>
      </c>
      <c r="K177">
        <v>0.9</v>
      </c>
      <c r="L177" s="1" t="s">
        <v>503</v>
      </c>
      <c r="M177" s="2">
        <v>25</v>
      </c>
      <c r="N177">
        <v>4.0999999999999996</v>
      </c>
      <c r="O177">
        <v>5</v>
      </c>
      <c r="P177">
        <v>6</v>
      </c>
      <c r="Q177">
        <v>3.9</v>
      </c>
      <c r="R177">
        <v>5.9</v>
      </c>
      <c r="S177" t="s">
        <v>40</v>
      </c>
    </row>
    <row r="178" spans="1:19" ht="72.5" x14ac:dyDescent="0.35">
      <c r="A178" t="s">
        <v>504</v>
      </c>
      <c r="B178">
        <v>20</v>
      </c>
      <c r="C178" t="s">
        <v>48</v>
      </c>
      <c r="D178" t="s">
        <v>35</v>
      </c>
      <c r="E178" t="s">
        <v>36</v>
      </c>
      <c r="F178" t="s">
        <v>62</v>
      </c>
      <c r="G178" s="1" t="s">
        <v>50</v>
      </c>
      <c r="H178" s="3">
        <v>670</v>
      </c>
      <c r="I178" t="s">
        <v>38</v>
      </c>
      <c r="J178" t="s">
        <v>119</v>
      </c>
      <c r="K178">
        <v>3.7</v>
      </c>
      <c r="L178" s="1" t="s">
        <v>505</v>
      </c>
      <c r="M178" s="2">
        <v>30</v>
      </c>
      <c r="N178">
        <v>7.9</v>
      </c>
      <c r="P178">
        <v>9</v>
      </c>
      <c r="Q178">
        <v>7.5</v>
      </c>
      <c r="R178">
        <v>9.4</v>
      </c>
      <c r="S178" t="s">
        <v>27</v>
      </c>
    </row>
    <row r="179" spans="1:19" ht="58" x14ac:dyDescent="0.35">
      <c r="A179" t="s">
        <v>508</v>
      </c>
      <c r="B179">
        <v>23</v>
      </c>
      <c r="C179" t="s">
        <v>48</v>
      </c>
      <c r="D179" t="s">
        <v>96</v>
      </c>
      <c r="E179" t="s">
        <v>36</v>
      </c>
      <c r="G179" s="1" t="s">
        <v>37</v>
      </c>
      <c r="H179" s="3">
        <v>50</v>
      </c>
      <c r="I179" t="s">
        <v>116</v>
      </c>
      <c r="J179" t="s">
        <v>39</v>
      </c>
      <c r="K179">
        <v>9.8000000000000007</v>
      </c>
      <c r="L179" s="1" t="s">
        <v>499</v>
      </c>
      <c r="M179" s="2">
        <v>0</v>
      </c>
      <c r="N179">
        <v>9.1</v>
      </c>
      <c r="O179">
        <v>4</v>
      </c>
      <c r="P179">
        <v>9</v>
      </c>
      <c r="Q179">
        <v>15.8</v>
      </c>
      <c r="R179">
        <v>5.2</v>
      </c>
      <c r="S179" t="s">
        <v>27</v>
      </c>
    </row>
    <row r="180" spans="1:19" ht="58" x14ac:dyDescent="0.35">
      <c r="A180" t="s">
        <v>509</v>
      </c>
      <c r="B180">
        <v>63</v>
      </c>
      <c r="C180" t="s">
        <v>48</v>
      </c>
      <c r="D180" t="s">
        <v>96</v>
      </c>
      <c r="E180" t="s">
        <v>22</v>
      </c>
      <c r="F180" t="s">
        <v>62</v>
      </c>
      <c r="H180" s="3">
        <v>1320</v>
      </c>
      <c r="I180" t="s">
        <v>68</v>
      </c>
      <c r="J180" t="s">
        <v>25</v>
      </c>
      <c r="K180">
        <v>1.7</v>
      </c>
      <c r="L180" s="1" t="s">
        <v>510</v>
      </c>
      <c r="N180">
        <v>5.2</v>
      </c>
      <c r="O180">
        <v>3</v>
      </c>
      <c r="P180">
        <v>6</v>
      </c>
      <c r="Q180">
        <v>3.5</v>
      </c>
      <c r="R180">
        <v>9.4</v>
      </c>
      <c r="S180" t="s">
        <v>27</v>
      </c>
    </row>
    <row r="181" spans="1:19" ht="43.5" x14ac:dyDescent="0.35">
      <c r="A181" t="s">
        <v>511</v>
      </c>
      <c r="B181">
        <v>22</v>
      </c>
      <c r="C181" t="s">
        <v>48</v>
      </c>
      <c r="D181" t="s">
        <v>74</v>
      </c>
      <c r="E181" t="s">
        <v>36</v>
      </c>
      <c r="F181" t="s">
        <v>49</v>
      </c>
      <c r="G181" s="1" t="s">
        <v>97</v>
      </c>
      <c r="H181" s="3">
        <v>0</v>
      </c>
      <c r="I181" t="s">
        <v>38</v>
      </c>
      <c r="J181" t="s">
        <v>71</v>
      </c>
      <c r="K181">
        <v>3.9</v>
      </c>
      <c r="L181" s="1" t="s">
        <v>512</v>
      </c>
      <c r="M181" s="2">
        <v>0</v>
      </c>
      <c r="N181">
        <v>6.9</v>
      </c>
      <c r="O181">
        <v>4</v>
      </c>
      <c r="P181">
        <v>9</v>
      </c>
      <c r="Q181">
        <v>6.7</v>
      </c>
      <c r="R181">
        <v>7.3</v>
      </c>
      <c r="S181" t="s">
        <v>27</v>
      </c>
    </row>
    <row r="182" spans="1:19" ht="72.5" x14ac:dyDescent="0.35">
      <c r="A182" t="s">
        <v>513</v>
      </c>
      <c r="B182">
        <v>20</v>
      </c>
      <c r="C182" t="s">
        <v>48</v>
      </c>
      <c r="D182" t="s">
        <v>103</v>
      </c>
      <c r="E182" t="s">
        <v>36</v>
      </c>
      <c r="F182" t="s">
        <v>23</v>
      </c>
      <c r="G182" s="1" t="s">
        <v>514</v>
      </c>
      <c r="H182" s="3">
        <v>135</v>
      </c>
      <c r="I182" t="s">
        <v>68</v>
      </c>
      <c r="J182" t="s">
        <v>76</v>
      </c>
      <c r="K182">
        <v>1.6</v>
      </c>
      <c r="L182" s="1" t="s">
        <v>515</v>
      </c>
      <c r="M182" s="2">
        <v>30</v>
      </c>
      <c r="N182">
        <v>4.5</v>
      </c>
      <c r="O182">
        <v>4</v>
      </c>
      <c r="P182">
        <v>6</v>
      </c>
      <c r="Q182">
        <v>3.5</v>
      </c>
      <c r="S182" t="s">
        <v>46</v>
      </c>
    </row>
    <row r="183" spans="1:19" ht="43.5" x14ac:dyDescent="0.35">
      <c r="A183" t="s">
        <v>516</v>
      </c>
      <c r="B183">
        <v>41</v>
      </c>
      <c r="C183" t="s">
        <v>749</v>
      </c>
      <c r="D183" t="s">
        <v>35</v>
      </c>
      <c r="E183" t="s">
        <v>22</v>
      </c>
      <c r="F183" t="s">
        <v>104</v>
      </c>
      <c r="G183" s="1" t="s">
        <v>105</v>
      </c>
      <c r="H183" s="3">
        <v>3218</v>
      </c>
      <c r="I183" t="s">
        <v>44</v>
      </c>
      <c r="J183" t="s">
        <v>76</v>
      </c>
      <c r="K183">
        <v>2.7</v>
      </c>
      <c r="L183" s="1" t="s">
        <v>517</v>
      </c>
      <c r="M183" s="2">
        <v>10</v>
      </c>
      <c r="N183">
        <v>4.8</v>
      </c>
      <c r="O183">
        <v>4</v>
      </c>
      <c r="P183">
        <v>7</v>
      </c>
      <c r="Q183">
        <v>6.4</v>
      </c>
      <c r="R183">
        <v>8.6</v>
      </c>
      <c r="S183" t="s">
        <v>27</v>
      </c>
    </row>
    <row r="184" spans="1:19" ht="58" x14ac:dyDescent="0.35">
      <c r="A184" t="s">
        <v>518</v>
      </c>
      <c r="B184">
        <v>17</v>
      </c>
      <c r="C184" t="s">
        <v>48</v>
      </c>
      <c r="D184" t="s">
        <v>748</v>
      </c>
      <c r="E184" t="s">
        <v>36</v>
      </c>
      <c r="F184" t="s">
        <v>49</v>
      </c>
      <c r="G184" s="1" t="s">
        <v>250</v>
      </c>
      <c r="I184" t="s">
        <v>38</v>
      </c>
      <c r="J184" t="s">
        <v>76</v>
      </c>
      <c r="K184">
        <v>6.1</v>
      </c>
      <c r="L184" s="1" t="s">
        <v>519</v>
      </c>
      <c r="M184" s="2">
        <v>30</v>
      </c>
      <c r="N184">
        <v>7</v>
      </c>
      <c r="O184">
        <v>4</v>
      </c>
      <c r="P184">
        <v>8</v>
      </c>
      <c r="Q184">
        <v>8.9</v>
      </c>
      <c r="R184">
        <v>7.8</v>
      </c>
      <c r="S184" t="s">
        <v>27</v>
      </c>
    </row>
    <row r="185" spans="1:19" ht="43.5" x14ac:dyDescent="0.35">
      <c r="A185" t="s">
        <v>520</v>
      </c>
      <c r="C185" t="s">
        <v>20</v>
      </c>
      <c r="D185" t="s">
        <v>35</v>
      </c>
      <c r="E185" t="s">
        <v>36</v>
      </c>
      <c r="F185" t="s">
        <v>49</v>
      </c>
      <c r="G185" s="1" t="s">
        <v>521</v>
      </c>
      <c r="H185" s="3">
        <v>624</v>
      </c>
      <c r="I185" t="s">
        <v>178</v>
      </c>
      <c r="J185" t="s">
        <v>76</v>
      </c>
      <c r="K185">
        <v>0.9</v>
      </c>
      <c r="L185" s="1" t="s">
        <v>522</v>
      </c>
      <c r="M185" s="2">
        <v>0</v>
      </c>
      <c r="N185">
        <v>4.4000000000000004</v>
      </c>
      <c r="O185">
        <v>3</v>
      </c>
      <c r="P185">
        <v>5</v>
      </c>
      <c r="Q185">
        <v>0.1</v>
      </c>
      <c r="R185">
        <v>7.4</v>
      </c>
      <c r="S185" t="s">
        <v>27</v>
      </c>
    </row>
    <row r="186" spans="1:19" ht="58" x14ac:dyDescent="0.35">
      <c r="A186" t="s">
        <v>523</v>
      </c>
      <c r="B186">
        <v>20</v>
      </c>
      <c r="C186" t="s">
        <v>20</v>
      </c>
      <c r="D186" t="s">
        <v>35</v>
      </c>
      <c r="E186" t="s">
        <v>36</v>
      </c>
      <c r="F186" t="s">
        <v>49</v>
      </c>
      <c r="H186" s="3">
        <v>415</v>
      </c>
      <c r="I186" t="s">
        <v>449</v>
      </c>
      <c r="J186" t="s">
        <v>76</v>
      </c>
      <c r="K186">
        <v>3</v>
      </c>
      <c r="L186" s="1" t="s">
        <v>524</v>
      </c>
      <c r="M186" s="2">
        <v>0</v>
      </c>
      <c r="N186">
        <v>4.4000000000000004</v>
      </c>
      <c r="O186">
        <v>3</v>
      </c>
      <c r="P186">
        <v>5</v>
      </c>
      <c r="Q186">
        <v>3.1</v>
      </c>
      <c r="R186">
        <v>5.5</v>
      </c>
      <c r="S186" t="s">
        <v>27</v>
      </c>
    </row>
    <row r="187" spans="1:19" ht="58" x14ac:dyDescent="0.35">
      <c r="A187" t="s">
        <v>525</v>
      </c>
      <c r="B187">
        <v>22</v>
      </c>
      <c r="C187" t="s">
        <v>20</v>
      </c>
      <c r="D187" t="s">
        <v>82</v>
      </c>
      <c r="E187" t="s">
        <v>36</v>
      </c>
      <c r="F187" t="s">
        <v>23</v>
      </c>
      <c r="G187" s="1" t="s">
        <v>340</v>
      </c>
      <c r="H187" s="3">
        <v>0</v>
      </c>
      <c r="I187" t="s">
        <v>449</v>
      </c>
      <c r="J187" t="s">
        <v>119</v>
      </c>
      <c r="K187">
        <v>5.9</v>
      </c>
      <c r="L187" s="1" t="s">
        <v>526</v>
      </c>
      <c r="M187" s="2">
        <v>0</v>
      </c>
      <c r="N187">
        <v>8.1</v>
      </c>
      <c r="O187">
        <v>3</v>
      </c>
      <c r="P187">
        <v>7</v>
      </c>
      <c r="Q187">
        <v>9</v>
      </c>
      <c r="R187">
        <v>7.3</v>
      </c>
      <c r="S187" t="s">
        <v>27</v>
      </c>
    </row>
    <row r="188" spans="1:19" ht="58" x14ac:dyDescent="0.35">
      <c r="A188" t="s">
        <v>527</v>
      </c>
      <c r="B188">
        <v>32</v>
      </c>
      <c r="C188" t="s">
        <v>20</v>
      </c>
      <c r="D188" t="s">
        <v>113</v>
      </c>
      <c r="E188" t="s">
        <v>22</v>
      </c>
      <c r="F188" t="s">
        <v>62</v>
      </c>
      <c r="G188" s="1" t="s">
        <v>528</v>
      </c>
      <c r="H188" s="3">
        <v>4499</v>
      </c>
      <c r="I188" t="s">
        <v>68</v>
      </c>
      <c r="J188" t="s">
        <v>55</v>
      </c>
      <c r="K188">
        <v>1.3</v>
      </c>
      <c r="L188" s="1" t="s">
        <v>529</v>
      </c>
      <c r="M188" s="2">
        <v>20</v>
      </c>
      <c r="N188">
        <v>2.7</v>
      </c>
      <c r="O188">
        <v>4</v>
      </c>
      <c r="P188">
        <v>4</v>
      </c>
      <c r="Q188">
        <v>0.5</v>
      </c>
      <c r="R188">
        <v>6.2</v>
      </c>
      <c r="S188" t="s">
        <v>27</v>
      </c>
    </row>
    <row r="189" spans="1:19" ht="72.5" x14ac:dyDescent="0.35">
      <c r="A189" t="s">
        <v>530</v>
      </c>
      <c r="B189">
        <v>30</v>
      </c>
      <c r="C189" t="s">
        <v>48</v>
      </c>
      <c r="D189" t="s">
        <v>21</v>
      </c>
      <c r="E189" t="s">
        <v>22</v>
      </c>
      <c r="F189" t="s">
        <v>30</v>
      </c>
      <c r="G189" s="1" t="s">
        <v>83</v>
      </c>
      <c r="H189" s="3">
        <v>6437</v>
      </c>
      <c r="I189" t="s">
        <v>178</v>
      </c>
      <c r="J189" t="s">
        <v>39</v>
      </c>
      <c r="K189">
        <v>1.9</v>
      </c>
      <c r="L189" s="1" t="s">
        <v>531</v>
      </c>
      <c r="M189" s="2">
        <v>0</v>
      </c>
      <c r="N189">
        <v>4.9000000000000004</v>
      </c>
      <c r="O189">
        <v>5</v>
      </c>
      <c r="P189">
        <v>8</v>
      </c>
      <c r="Q189">
        <v>2.1</v>
      </c>
      <c r="R189">
        <v>6.7</v>
      </c>
      <c r="S189" t="s">
        <v>27</v>
      </c>
    </row>
    <row r="190" spans="1:19" ht="72.5" x14ac:dyDescent="0.35">
      <c r="A190" t="s">
        <v>532</v>
      </c>
      <c r="B190">
        <v>17</v>
      </c>
      <c r="C190" t="s">
        <v>48</v>
      </c>
      <c r="D190" t="s">
        <v>82</v>
      </c>
      <c r="E190" t="s">
        <v>36</v>
      </c>
      <c r="F190" t="s">
        <v>23</v>
      </c>
      <c r="G190" s="1" t="s">
        <v>340</v>
      </c>
      <c r="H190" s="3">
        <v>440</v>
      </c>
      <c r="I190" t="s">
        <v>38</v>
      </c>
      <c r="J190" t="s">
        <v>55</v>
      </c>
      <c r="K190">
        <v>0.5</v>
      </c>
      <c r="L190" s="1" t="s">
        <v>533</v>
      </c>
      <c r="M190" s="2">
        <v>10</v>
      </c>
      <c r="N190">
        <v>4.3</v>
      </c>
      <c r="O190">
        <v>4</v>
      </c>
      <c r="P190">
        <v>6</v>
      </c>
      <c r="Q190">
        <v>0.5</v>
      </c>
      <c r="R190">
        <v>7.5</v>
      </c>
      <c r="S190" t="s">
        <v>40</v>
      </c>
    </row>
    <row r="191" spans="1:19" ht="72.5" x14ac:dyDescent="0.35">
      <c r="A191" t="s">
        <v>534</v>
      </c>
      <c r="B191">
        <v>25</v>
      </c>
      <c r="C191" t="s">
        <v>48</v>
      </c>
      <c r="D191" t="s">
        <v>96</v>
      </c>
      <c r="E191" t="s">
        <v>36</v>
      </c>
      <c r="F191" t="s">
        <v>787</v>
      </c>
      <c r="G191" s="1" t="s">
        <v>535</v>
      </c>
      <c r="H191" s="3">
        <v>60</v>
      </c>
      <c r="I191" t="s">
        <v>116</v>
      </c>
      <c r="J191" t="s">
        <v>119</v>
      </c>
      <c r="K191">
        <v>3.4</v>
      </c>
      <c r="L191" s="1" t="s">
        <v>536</v>
      </c>
      <c r="M191" s="2">
        <v>50</v>
      </c>
      <c r="N191">
        <v>4.9000000000000004</v>
      </c>
      <c r="O191">
        <v>4</v>
      </c>
      <c r="P191">
        <v>8</v>
      </c>
      <c r="Q191">
        <v>7.2</v>
      </c>
      <c r="R191">
        <v>8</v>
      </c>
      <c r="S191" t="s">
        <v>27</v>
      </c>
    </row>
    <row r="192" spans="1:19" ht="58" x14ac:dyDescent="0.35">
      <c r="A192" t="s">
        <v>537</v>
      </c>
      <c r="B192">
        <v>23</v>
      </c>
      <c r="C192" t="s">
        <v>48</v>
      </c>
      <c r="D192" t="s">
        <v>96</v>
      </c>
      <c r="E192" t="s">
        <v>36</v>
      </c>
      <c r="F192" t="s">
        <v>49</v>
      </c>
      <c r="G192" s="1" t="s">
        <v>514</v>
      </c>
      <c r="H192" s="3">
        <v>219</v>
      </c>
      <c r="I192" t="s">
        <v>116</v>
      </c>
      <c r="J192" t="s">
        <v>119</v>
      </c>
      <c r="K192">
        <v>1.4</v>
      </c>
      <c r="L192" s="1" t="s">
        <v>538</v>
      </c>
      <c r="M192" s="2">
        <v>0</v>
      </c>
      <c r="N192">
        <v>4.8</v>
      </c>
      <c r="O192">
        <v>4</v>
      </c>
      <c r="P192">
        <v>6</v>
      </c>
      <c r="Q192">
        <v>3.6</v>
      </c>
      <c r="R192">
        <v>6.1</v>
      </c>
      <c r="S192" t="s">
        <v>27</v>
      </c>
    </row>
    <row r="193" spans="1:19" ht="72.5" x14ac:dyDescent="0.35">
      <c r="A193" t="s">
        <v>541</v>
      </c>
      <c r="B193">
        <v>48</v>
      </c>
      <c r="C193" t="s">
        <v>20</v>
      </c>
      <c r="D193" t="s">
        <v>82</v>
      </c>
      <c r="E193" t="s">
        <v>22</v>
      </c>
      <c r="F193" t="s">
        <v>23</v>
      </c>
      <c r="G193" s="1" t="s">
        <v>75</v>
      </c>
      <c r="H193" s="3">
        <v>5903</v>
      </c>
      <c r="I193" t="s">
        <v>38</v>
      </c>
      <c r="J193" t="s">
        <v>76</v>
      </c>
      <c r="K193">
        <v>1.6</v>
      </c>
      <c r="L193" s="1" t="s">
        <v>542</v>
      </c>
      <c r="M193" s="2">
        <v>20</v>
      </c>
      <c r="N193">
        <v>5.2</v>
      </c>
      <c r="O193">
        <v>3</v>
      </c>
      <c r="P193">
        <v>7</v>
      </c>
      <c r="Q193">
        <v>6.5</v>
      </c>
      <c r="R193">
        <v>9.6999999999999993</v>
      </c>
      <c r="S193" t="s">
        <v>27</v>
      </c>
    </row>
    <row r="194" spans="1:19" ht="43.5" x14ac:dyDescent="0.35">
      <c r="A194" t="s">
        <v>543</v>
      </c>
      <c r="B194">
        <v>53</v>
      </c>
      <c r="C194" t="s">
        <v>20</v>
      </c>
      <c r="D194" t="s">
        <v>191</v>
      </c>
      <c r="E194" t="s">
        <v>22</v>
      </c>
      <c r="F194" t="s">
        <v>30</v>
      </c>
      <c r="G194" s="1" t="s">
        <v>544</v>
      </c>
      <c r="H194" s="3">
        <v>3944</v>
      </c>
      <c r="I194" t="s">
        <v>51</v>
      </c>
      <c r="J194" t="s">
        <v>39</v>
      </c>
      <c r="K194">
        <v>1.4</v>
      </c>
      <c r="L194" s="1" t="s">
        <v>545</v>
      </c>
      <c r="M194" s="2">
        <v>0</v>
      </c>
      <c r="N194">
        <v>1.9</v>
      </c>
      <c r="O194">
        <v>3</v>
      </c>
      <c r="P194">
        <v>3</v>
      </c>
      <c r="Q194">
        <v>2.5</v>
      </c>
      <c r="R194">
        <v>9.5</v>
      </c>
      <c r="S194" t="s">
        <v>40</v>
      </c>
    </row>
    <row r="195" spans="1:19" ht="58" x14ac:dyDescent="0.35">
      <c r="A195" t="s">
        <v>546</v>
      </c>
      <c r="B195">
        <v>55</v>
      </c>
      <c r="C195" t="s">
        <v>20</v>
      </c>
      <c r="D195" t="s">
        <v>29</v>
      </c>
      <c r="E195" t="s">
        <v>22</v>
      </c>
      <c r="F195" t="s">
        <v>30</v>
      </c>
      <c r="G195" s="1" t="s">
        <v>24</v>
      </c>
      <c r="H195" s="3">
        <v>4070</v>
      </c>
      <c r="I195" t="s">
        <v>68</v>
      </c>
      <c r="J195" t="s">
        <v>25</v>
      </c>
      <c r="K195">
        <v>2.7</v>
      </c>
      <c r="L195" s="1" t="s">
        <v>547</v>
      </c>
      <c r="M195" s="2">
        <v>20</v>
      </c>
      <c r="N195">
        <v>6.8</v>
      </c>
      <c r="O195">
        <v>4</v>
      </c>
      <c r="P195">
        <v>7</v>
      </c>
      <c r="R195">
        <v>10.7</v>
      </c>
      <c r="S195" t="s">
        <v>27</v>
      </c>
    </row>
    <row r="196" spans="1:19" ht="72.5" x14ac:dyDescent="0.35">
      <c r="A196" t="s">
        <v>548</v>
      </c>
      <c r="B196">
        <v>17</v>
      </c>
      <c r="C196" t="s">
        <v>48</v>
      </c>
      <c r="D196" t="s">
        <v>96</v>
      </c>
      <c r="E196" t="s">
        <v>36</v>
      </c>
      <c r="F196" t="s">
        <v>49</v>
      </c>
      <c r="G196" s="1" t="s">
        <v>549</v>
      </c>
      <c r="H196" s="3">
        <v>250000</v>
      </c>
      <c r="I196" t="s">
        <v>38</v>
      </c>
      <c r="J196" t="s">
        <v>76</v>
      </c>
      <c r="K196">
        <v>1.7</v>
      </c>
      <c r="L196" s="1" t="s">
        <v>550</v>
      </c>
      <c r="M196" s="2">
        <v>0</v>
      </c>
      <c r="N196">
        <v>5.8</v>
      </c>
      <c r="O196">
        <v>4</v>
      </c>
      <c r="P196">
        <v>7</v>
      </c>
      <c r="Q196">
        <v>5</v>
      </c>
      <c r="R196">
        <v>7</v>
      </c>
      <c r="S196" t="s">
        <v>27</v>
      </c>
    </row>
    <row r="197" spans="1:19" ht="58" x14ac:dyDescent="0.35">
      <c r="A197" t="s">
        <v>551</v>
      </c>
      <c r="C197" t="s">
        <v>48</v>
      </c>
      <c r="D197" t="s">
        <v>29</v>
      </c>
      <c r="E197" t="s">
        <v>22</v>
      </c>
      <c r="F197" t="s">
        <v>30</v>
      </c>
      <c r="J197" t="s">
        <v>71</v>
      </c>
      <c r="K197">
        <v>3.1</v>
      </c>
      <c r="L197" s="1" t="s">
        <v>552</v>
      </c>
      <c r="M197" s="2">
        <v>30</v>
      </c>
      <c r="N197">
        <v>5.6</v>
      </c>
      <c r="O197">
        <v>3</v>
      </c>
      <c r="P197">
        <v>7</v>
      </c>
      <c r="Q197">
        <v>5.2</v>
      </c>
      <c r="R197">
        <v>8.4</v>
      </c>
      <c r="S197" t="s">
        <v>27</v>
      </c>
    </row>
    <row r="198" spans="1:19" ht="58" x14ac:dyDescent="0.35">
      <c r="A198" t="s">
        <v>553</v>
      </c>
      <c r="B198">
        <v>32</v>
      </c>
      <c r="C198" t="s">
        <v>20</v>
      </c>
      <c r="D198" t="s">
        <v>35</v>
      </c>
      <c r="E198" t="s">
        <v>36</v>
      </c>
      <c r="F198" t="s">
        <v>49</v>
      </c>
      <c r="G198" s="1" t="s">
        <v>97</v>
      </c>
      <c r="H198" s="3">
        <v>553</v>
      </c>
      <c r="I198" t="s">
        <v>51</v>
      </c>
      <c r="J198" t="s">
        <v>71</v>
      </c>
      <c r="K198">
        <v>1.5</v>
      </c>
      <c r="L198" s="1" t="s">
        <v>554</v>
      </c>
      <c r="M198" s="2">
        <v>25</v>
      </c>
      <c r="N198">
        <v>3.6</v>
      </c>
      <c r="O198">
        <v>4</v>
      </c>
      <c r="P198">
        <v>6</v>
      </c>
      <c r="Q198">
        <v>5.5</v>
      </c>
      <c r="R198">
        <v>5.9</v>
      </c>
      <c r="S198" t="s">
        <v>46</v>
      </c>
    </row>
    <row r="199" spans="1:19" ht="58" x14ac:dyDescent="0.35">
      <c r="A199" t="s">
        <v>555</v>
      </c>
      <c r="B199">
        <v>23</v>
      </c>
      <c r="C199" t="s">
        <v>48</v>
      </c>
      <c r="D199" t="s">
        <v>191</v>
      </c>
      <c r="E199" t="s">
        <v>22</v>
      </c>
      <c r="F199" t="s">
        <v>30</v>
      </c>
      <c r="G199" s="1" t="s">
        <v>556</v>
      </c>
      <c r="H199" s="3">
        <v>3693</v>
      </c>
      <c r="I199" t="s">
        <v>449</v>
      </c>
      <c r="J199" t="s">
        <v>39</v>
      </c>
      <c r="K199">
        <v>5.5</v>
      </c>
      <c r="L199" s="1" t="s">
        <v>557</v>
      </c>
      <c r="M199" s="2">
        <v>20</v>
      </c>
      <c r="N199">
        <v>7.6</v>
      </c>
      <c r="O199">
        <v>3</v>
      </c>
      <c r="P199">
        <v>7</v>
      </c>
      <c r="Q199">
        <v>9.3000000000000007</v>
      </c>
      <c r="R199">
        <v>6.1</v>
      </c>
      <c r="S199" t="s">
        <v>27</v>
      </c>
    </row>
    <row r="200" spans="1:19" ht="72.5" x14ac:dyDescent="0.35">
      <c r="A200" t="s">
        <v>558</v>
      </c>
      <c r="B200">
        <v>47</v>
      </c>
      <c r="C200" t="s">
        <v>20</v>
      </c>
      <c r="D200" t="s">
        <v>21</v>
      </c>
      <c r="E200" t="s">
        <v>22</v>
      </c>
      <c r="F200" t="s">
        <v>787</v>
      </c>
      <c r="G200" s="1" t="s">
        <v>559</v>
      </c>
      <c r="H200" s="3">
        <v>7690</v>
      </c>
      <c r="I200" t="s">
        <v>68</v>
      </c>
      <c r="J200" t="s">
        <v>39</v>
      </c>
      <c r="K200">
        <v>0.5</v>
      </c>
      <c r="L200" s="1" t="s">
        <v>560</v>
      </c>
      <c r="N200">
        <v>2</v>
      </c>
      <c r="O200">
        <v>2</v>
      </c>
      <c r="P200">
        <v>3</v>
      </c>
      <c r="Q200">
        <v>2.7</v>
      </c>
      <c r="R200">
        <v>10.4</v>
      </c>
      <c r="S200" t="s">
        <v>40</v>
      </c>
    </row>
    <row r="201" spans="1:19" ht="43.5" x14ac:dyDescent="0.35">
      <c r="A201" t="s">
        <v>561</v>
      </c>
      <c r="B201">
        <v>21</v>
      </c>
      <c r="C201" t="s">
        <v>195</v>
      </c>
      <c r="D201" t="s">
        <v>35</v>
      </c>
      <c r="E201" t="s">
        <v>36</v>
      </c>
      <c r="F201" t="s">
        <v>62</v>
      </c>
      <c r="G201" s="1" t="s">
        <v>97</v>
      </c>
      <c r="H201" s="3">
        <v>0</v>
      </c>
      <c r="I201" t="s">
        <v>68</v>
      </c>
      <c r="J201" t="s">
        <v>71</v>
      </c>
      <c r="K201">
        <v>2.9</v>
      </c>
      <c r="L201" s="1" t="s">
        <v>562</v>
      </c>
      <c r="M201" s="2">
        <v>10</v>
      </c>
      <c r="N201">
        <v>5.7</v>
      </c>
      <c r="O201">
        <v>2</v>
      </c>
      <c r="P201">
        <v>4</v>
      </c>
      <c r="Q201">
        <v>6.6</v>
      </c>
      <c r="R201">
        <v>6.4</v>
      </c>
      <c r="S201" t="s">
        <v>40</v>
      </c>
    </row>
    <row r="202" spans="1:19" ht="87" x14ac:dyDescent="0.35">
      <c r="A202" t="s">
        <v>563</v>
      </c>
      <c r="B202">
        <v>28</v>
      </c>
      <c r="C202" t="s">
        <v>20</v>
      </c>
      <c r="D202" t="s">
        <v>748</v>
      </c>
      <c r="E202" t="s">
        <v>22</v>
      </c>
      <c r="F202" t="s">
        <v>787</v>
      </c>
      <c r="G202" s="1" t="s">
        <v>564</v>
      </c>
      <c r="H202" s="3">
        <v>1208</v>
      </c>
      <c r="I202" t="s">
        <v>51</v>
      </c>
      <c r="J202" t="s">
        <v>25</v>
      </c>
      <c r="K202">
        <v>1</v>
      </c>
      <c r="L202" s="1" t="s">
        <v>565</v>
      </c>
      <c r="M202" s="2">
        <v>20</v>
      </c>
      <c r="N202">
        <v>2.6</v>
      </c>
      <c r="O202">
        <v>4</v>
      </c>
      <c r="P202">
        <v>4</v>
      </c>
      <c r="R202">
        <v>8.3000000000000007</v>
      </c>
      <c r="S202" t="s">
        <v>40</v>
      </c>
    </row>
    <row r="203" spans="1:19" ht="43.5" x14ac:dyDescent="0.35">
      <c r="A203" t="s">
        <v>566</v>
      </c>
      <c r="C203" t="s">
        <v>20</v>
      </c>
      <c r="D203" t="s">
        <v>29</v>
      </c>
      <c r="E203" t="s">
        <v>22</v>
      </c>
      <c r="F203" t="s">
        <v>23</v>
      </c>
      <c r="G203" s="1" t="s">
        <v>567</v>
      </c>
      <c r="H203" s="3">
        <v>10311</v>
      </c>
      <c r="I203" t="s">
        <v>178</v>
      </c>
      <c r="J203" t="s">
        <v>71</v>
      </c>
      <c r="K203">
        <v>2.1</v>
      </c>
      <c r="L203" s="1" t="s">
        <v>568</v>
      </c>
      <c r="M203" s="2">
        <v>20</v>
      </c>
      <c r="N203">
        <v>4.2</v>
      </c>
      <c r="O203">
        <v>3</v>
      </c>
      <c r="P203">
        <v>5</v>
      </c>
      <c r="Q203">
        <v>5.4</v>
      </c>
      <c r="R203">
        <v>10.5</v>
      </c>
      <c r="S203" t="s">
        <v>46</v>
      </c>
    </row>
    <row r="204" spans="1:19" ht="58" x14ac:dyDescent="0.35">
      <c r="A204" t="s">
        <v>569</v>
      </c>
      <c r="B204">
        <v>41</v>
      </c>
      <c r="C204" t="s">
        <v>48</v>
      </c>
      <c r="D204" t="s">
        <v>96</v>
      </c>
      <c r="E204" t="s">
        <v>22</v>
      </c>
      <c r="F204" t="s">
        <v>104</v>
      </c>
      <c r="G204" s="1" t="s">
        <v>570</v>
      </c>
      <c r="H204" s="3">
        <v>1407</v>
      </c>
      <c r="I204" t="s">
        <v>116</v>
      </c>
      <c r="J204" t="s">
        <v>39</v>
      </c>
      <c r="K204">
        <v>0.6</v>
      </c>
      <c r="L204" s="1" t="s">
        <v>571</v>
      </c>
      <c r="M204" s="2">
        <v>0</v>
      </c>
      <c r="N204">
        <v>3.3</v>
      </c>
      <c r="O204">
        <v>3</v>
      </c>
      <c r="P204">
        <v>4</v>
      </c>
      <c r="Q204">
        <v>3</v>
      </c>
      <c r="R204">
        <v>9.5</v>
      </c>
      <c r="S204" t="s">
        <v>40</v>
      </c>
    </row>
    <row r="205" spans="1:19" ht="58" x14ac:dyDescent="0.35">
      <c r="A205" t="s">
        <v>572</v>
      </c>
      <c r="B205">
        <v>64</v>
      </c>
      <c r="C205" t="s">
        <v>48</v>
      </c>
      <c r="D205" t="s">
        <v>96</v>
      </c>
      <c r="E205" t="s">
        <v>22</v>
      </c>
      <c r="F205" t="s">
        <v>23</v>
      </c>
      <c r="G205" s="1" t="s">
        <v>181</v>
      </c>
      <c r="H205" s="3">
        <v>2050</v>
      </c>
      <c r="I205" t="s">
        <v>44</v>
      </c>
      <c r="J205" t="s">
        <v>64</v>
      </c>
      <c r="K205">
        <v>5.3</v>
      </c>
      <c r="L205" s="1" t="s">
        <v>573</v>
      </c>
      <c r="M205" s="2">
        <v>50</v>
      </c>
      <c r="N205">
        <v>7.8</v>
      </c>
      <c r="O205">
        <v>3</v>
      </c>
      <c r="P205">
        <v>6</v>
      </c>
      <c r="Q205">
        <v>10.7</v>
      </c>
      <c r="R205">
        <v>9.5</v>
      </c>
      <c r="S205" t="s">
        <v>46</v>
      </c>
    </row>
    <row r="206" spans="1:19" ht="58" x14ac:dyDescent="0.35">
      <c r="A206" t="s">
        <v>574</v>
      </c>
      <c r="B206">
        <v>97</v>
      </c>
      <c r="C206" t="s">
        <v>20</v>
      </c>
      <c r="D206" t="s">
        <v>29</v>
      </c>
      <c r="E206" t="s">
        <v>36</v>
      </c>
      <c r="F206" t="s">
        <v>49</v>
      </c>
      <c r="G206" s="1" t="s">
        <v>50</v>
      </c>
      <c r="H206" s="3">
        <v>243</v>
      </c>
      <c r="I206" t="s">
        <v>449</v>
      </c>
      <c r="J206" t="s">
        <v>119</v>
      </c>
      <c r="K206">
        <v>0.8</v>
      </c>
      <c r="L206" s="1" t="s">
        <v>575</v>
      </c>
      <c r="M206" s="2">
        <v>0</v>
      </c>
      <c r="N206">
        <v>2.5</v>
      </c>
      <c r="O206">
        <v>3</v>
      </c>
      <c r="P206">
        <v>5</v>
      </c>
      <c r="Q206">
        <v>1.3</v>
      </c>
      <c r="R206">
        <v>6.8</v>
      </c>
      <c r="S206" t="s">
        <v>40</v>
      </c>
    </row>
    <row r="207" spans="1:19" ht="72.5" x14ac:dyDescent="0.35">
      <c r="A207" t="s">
        <v>576</v>
      </c>
      <c r="B207">
        <v>63</v>
      </c>
      <c r="C207" t="s">
        <v>20</v>
      </c>
      <c r="D207" t="s">
        <v>42</v>
      </c>
      <c r="E207" t="s">
        <v>22</v>
      </c>
      <c r="F207" t="s">
        <v>104</v>
      </c>
      <c r="G207" s="1" t="s">
        <v>577</v>
      </c>
      <c r="H207" s="3">
        <v>1405</v>
      </c>
      <c r="I207" t="s">
        <v>38</v>
      </c>
      <c r="J207" t="s">
        <v>39</v>
      </c>
      <c r="K207">
        <v>3.4</v>
      </c>
      <c r="L207" s="1" t="s">
        <v>578</v>
      </c>
      <c r="N207">
        <v>6.8</v>
      </c>
      <c r="O207">
        <v>5</v>
      </c>
      <c r="P207">
        <v>10</v>
      </c>
      <c r="Q207">
        <v>7.4</v>
      </c>
      <c r="R207">
        <v>7.5</v>
      </c>
      <c r="S207" t="s">
        <v>46</v>
      </c>
    </row>
    <row r="208" spans="1:19" ht="58" x14ac:dyDescent="0.35">
      <c r="A208" t="s">
        <v>579</v>
      </c>
      <c r="C208" t="s">
        <v>20</v>
      </c>
      <c r="D208" t="s">
        <v>103</v>
      </c>
      <c r="E208" t="s">
        <v>36</v>
      </c>
      <c r="F208" t="s">
        <v>49</v>
      </c>
      <c r="G208" s="1" t="s">
        <v>97</v>
      </c>
      <c r="H208" s="3">
        <v>98</v>
      </c>
      <c r="I208" t="s">
        <v>68</v>
      </c>
      <c r="J208" t="s">
        <v>71</v>
      </c>
      <c r="K208">
        <v>1.7</v>
      </c>
      <c r="L208" s="1" t="s">
        <v>580</v>
      </c>
      <c r="M208" s="2">
        <v>20</v>
      </c>
      <c r="N208">
        <v>3.5</v>
      </c>
      <c r="O208">
        <v>3</v>
      </c>
      <c r="P208">
        <v>6</v>
      </c>
      <c r="Q208">
        <v>2.9</v>
      </c>
      <c r="R208">
        <v>7.7</v>
      </c>
      <c r="S208" t="s">
        <v>27</v>
      </c>
    </row>
    <row r="209" spans="1:19" ht="58" x14ac:dyDescent="0.35">
      <c r="A209" t="s">
        <v>581</v>
      </c>
      <c r="B209">
        <v>20</v>
      </c>
      <c r="C209" t="s">
        <v>20</v>
      </c>
      <c r="D209" t="s">
        <v>96</v>
      </c>
      <c r="E209" t="s">
        <v>36</v>
      </c>
      <c r="F209" t="s">
        <v>30</v>
      </c>
      <c r="G209" s="1" t="s">
        <v>340</v>
      </c>
      <c r="H209" s="3">
        <v>104</v>
      </c>
      <c r="I209" t="s">
        <v>38</v>
      </c>
      <c r="J209" t="s">
        <v>119</v>
      </c>
      <c r="K209">
        <v>6.8</v>
      </c>
      <c r="L209" s="1" t="s">
        <v>582</v>
      </c>
      <c r="M209" s="2">
        <v>0</v>
      </c>
      <c r="N209">
        <v>6.9</v>
      </c>
      <c r="O209">
        <v>2</v>
      </c>
      <c r="P209">
        <v>6</v>
      </c>
      <c r="Q209">
        <v>14.1</v>
      </c>
      <c r="R209">
        <v>6.4</v>
      </c>
      <c r="S209" t="s">
        <v>40</v>
      </c>
    </row>
    <row r="210" spans="1:19" ht="72.5" x14ac:dyDescent="0.35">
      <c r="A210" t="s">
        <v>583</v>
      </c>
      <c r="C210" t="s">
        <v>48</v>
      </c>
      <c r="D210" t="s">
        <v>42</v>
      </c>
      <c r="E210" t="s">
        <v>36</v>
      </c>
      <c r="F210" t="s">
        <v>30</v>
      </c>
      <c r="G210" s="1" t="s">
        <v>67</v>
      </c>
      <c r="H210" s="3">
        <v>243</v>
      </c>
      <c r="I210" t="s">
        <v>68</v>
      </c>
      <c r="J210" t="s">
        <v>64</v>
      </c>
      <c r="K210">
        <v>2.8</v>
      </c>
      <c r="L210" s="1" t="s">
        <v>584</v>
      </c>
      <c r="M210" s="2">
        <v>100</v>
      </c>
      <c r="N210">
        <v>5.4</v>
      </c>
      <c r="O210">
        <v>3</v>
      </c>
      <c r="P210">
        <v>6</v>
      </c>
      <c r="Q210">
        <v>6.8</v>
      </c>
      <c r="R210">
        <v>8.5</v>
      </c>
      <c r="S210" t="s">
        <v>27</v>
      </c>
    </row>
    <row r="211" spans="1:19" ht="58" x14ac:dyDescent="0.35">
      <c r="A211" t="s">
        <v>585</v>
      </c>
      <c r="B211">
        <v>22</v>
      </c>
      <c r="C211" t="s">
        <v>48</v>
      </c>
      <c r="D211" t="s">
        <v>29</v>
      </c>
      <c r="E211" t="s">
        <v>36</v>
      </c>
      <c r="F211" t="s">
        <v>49</v>
      </c>
      <c r="G211" s="1" t="s">
        <v>207</v>
      </c>
      <c r="H211" s="3">
        <v>0</v>
      </c>
      <c r="I211" t="s">
        <v>38</v>
      </c>
      <c r="J211" t="s">
        <v>64</v>
      </c>
      <c r="K211">
        <v>5.9</v>
      </c>
      <c r="L211" s="1" t="s">
        <v>586</v>
      </c>
      <c r="M211" s="2">
        <v>20</v>
      </c>
      <c r="N211">
        <v>5.5</v>
      </c>
      <c r="O211">
        <v>3</v>
      </c>
      <c r="P211">
        <v>5</v>
      </c>
      <c r="Q211">
        <v>12.4</v>
      </c>
      <c r="R211">
        <v>5.7</v>
      </c>
      <c r="S211" t="s">
        <v>40</v>
      </c>
    </row>
    <row r="212" spans="1:19" ht="87" x14ac:dyDescent="0.35">
      <c r="A212" t="s">
        <v>587</v>
      </c>
      <c r="C212" t="s">
        <v>48</v>
      </c>
      <c r="D212" t="s">
        <v>82</v>
      </c>
      <c r="E212" t="s">
        <v>22</v>
      </c>
      <c r="F212" t="s">
        <v>23</v>
      </c>
      <c r="G212" s="1" t="s">
        <v>588</v>
      </c>
      <c r="H212" s="3">
        <v>3462</v>
      </c>
      <c r="I212" t="s">
        <v>178</v>
      </c>
      <c r="J212" t="s">
        <v>55</v>
      </c>
      <c r="K212">
        <v>4.5</v>
      </c>
      <c r="L212" s="1" t="s">
        <v>589</v>
      </c>
      <c r="M212" s="2">
        <v>0</v>
      </c>
      <c r="N212">
        <v>5.6</v>
      </c>
      <c r="O212">
        <v>4</v>
      </c>
      <c r="P212">
        <v>5</v>
      </c>
      <c r="Q212">
        <v>5.5</v>
      </c>
      <c r="R212">
        <v>6.7</v>
      </c>
      <c r="S212" t="s">
        <v>46</v>
      </c>
    </row>
    <row r="213" spans="1:19" ht="72.5" x14ac:dyDescent="0.35">
      <c r="A213" t="s">
        <v>590</v>
      </c>
      <c r="B213">
        <v>44</v>
      </c>
      <c r="C213" t="s">
        <v>48</v>
      </c>
      <c r="D213" t="s">
        <v>42</v>
      </c>
      <c r="E213" t="s">
        <v>22</v>
      </c>
      <c r="F213" t="s">
        <v>104</v>
      </c>
      <c r="G213" s="1" t="s">
        <v>591</v>
      </c>
      <c r="H213" s="3">
        <v>1613</v>
      </c>
      <c r="I213" t="s">
        <v>178</v>
      </c>
      <c r="J213" t="s">
        <v>25</v>
      </c>
      <c r="K213">
        <v>4.2</v>
      </c>
      <c r="L213" s="1" t="s">
        <v>592</v>
      </c>
      <c r="M213" s="2">
        <v>0</v>
      </c>
      <c r="N213">
        <v>5.9</v>
      </c>
      <c r="O213">
        <v>3</v>
      </c>
      <c r="P213">
        <v>6</v>
      </c>
      <c r="Q213">
        <v>5.6</v>
      </c>
      <c r="R213">
        <v>10</v>
      </c>
      <c r="S213" t="s">
        <v>27</v>
      </c>
    </row>
    <row r="214" spans="1:19" ht="58" x14ac:dyDescent="0.35">
      <c r="A214" t="s">
        <v>593</v>
      </c>
      <c r="B214">
        <v>31</v>
      </c>
      <c r="C214" t="s">
        <v>20</v>
      </c>
      <c r="D214" t="s">
        <v>74</v>
      </c>
      <c r="E214" t="s">
        <v>22</v>
      </c>
      <c r="F214" t="s">
        <v>30</v>
      </c>
      <c r="G214" s="1" t="s">
        <v>162</v>
      </c>
      <c r="H214" s="3">
        <v>969</v>
      </c>
      <c r="I214" t="s">
        <v>38</v>
      </c>
      <c r="J214" t="s">
        <v>71</v>
      </c>
      <c r="K214">
        <v>4.9000000000000004</v>
      </c>
      <c r="L214" s="1" t="s">
        <v>594</v>
      </c>
      <c r="M214" s="2">
        <v>0</v>
      </c>
      <c r="N214">
        <v>5.4</v>
      </c>
      <c r="O214">
        <v>3</v>
      </c>
      <c r="P214">
        <v>7</v>
      </c>
      <c r="Q214">
        <v>6.5</v>
      </c>
      <c r="R214">
        <v>9.3000000000000007</v>
      </c>
      <c r="S214" t="s">
        <v>27</v>
      </c>
    </row>
    <row r="215" spans="1:19" ht="72.5" x14ac:dyDescent="0.35">
      <c r="A215" t="s">
        <v>595</v>
      </c>
      <c r="B215">
        <v>31</v>
      </c>
      <c r="C215" t="s">
        <v>48</v>
      </c>
      <c r="D215" t="s">
        <v>113</v>
      </c>
      <c r="E215" t="s">
        <v>22</v>
      </c>
      <c r="F215" t="s">
        <v>30</v>
      </c>
      <c r="G215" s="1" t="s">
        <v>365</v>
      </c>
      <c r="I215" t="s">
        <v>449</v>
      </c>
      <c r="J215" t="s">
        <v>64</v>
      </c>
      <c r="K215">
        <v>3.4</v>
      </c>
      <c r="L215" s="1" t="s">
        <v>596</v>
      </c>
      <c r="M215" s="2">
        <v>0</v>
      </c>
      <c r="N215">
        <v>4.8</v>
      </c>
      <c r="O215">
        <v>2</v>
      </c>
      <c r="P215">
        <v>5</v>
      </c>
      <c r="Q215">
        <v>6</v>
      </c>
      <c r="R215">
        <v>7.5</v>
      </c>
      <c r="S215" t="s">
        <v>40</v>
      </c>
    </row>
    <row r="216" spans="1:19" ht="58" x14ac:dyDescent="0.35">
      <c r="A216" t="s">
        <v>597</v>
      </c>
      <c r="B216">
        <v>39</v>
      </c>
      <c r="C216" t="s">
        <v>20</v>
      </c>
      <c r="D216" t="s">
        <v>35</v>
      </c>
      <c r="E216" t="s">
        <v>22</v>
      </c>
      <c r="F216" t="s">
        <v>104</v>
      </c>
      <c r="G216" s="1" t="s">
        <v>83</v>
      </c>
      <c r="H216" s="3">
        <v>3579</v>
      </c>
      <c r="I216" t="s">
        <v>449</v>
      </c>
      <c r="J216" t="s">
        <v>39</v>
      </c>
      <c r="K216">
        <v>4.4000000000000004</v>
      </c>
      <c r="L216" s="1" t="s">
        <v>598</v>
      </c>
      <c r="M216" s="2">
        <v>0</v>
      </c>
      <c r="N216">
        <v>7.3</v>
      </c>
      <c r="O216">
        <v>4</v>
      </c>
      <c r="P216">
        <v>7</v>
      </c>
      <c r="Q216">
        <v>5.7</v>
      </c>
      <c r="R216">
        <v>8.4</v>
      </c>
      <c r="S216" t="s">
        <v>27</v>
      </c>
    </row>
    <row r="217" spans="1:19" ht="72.5" x14ac:dyDescent="0.35">
      <c r="A217" t="s">
        <v>599</v>
      </c>
      <c r="B217">
        <v>48</v>
      </c>
      <c r="C217" t="s">
        <v>20</v>
      </c>
      <c r="D217" t="s">
        <v>74</v>
      </c>
      <c r="E217" t="s">
        <v>22</v>
      </c>
      <c r="F217" t="s">
        <v>30</v>
      </c>
      <c r="G217" s="1" t="s">
        <v>600</v>
      </c>
      <c r="H217" s="3">
        <v>210</v>
      </c>
      <c r="I217" t="s">
        <v>38</v>
      </c>
      <c r="J217" t="s">
        <v>64</v>
      </c>
      <c r="K217">
        <v>1.8</v>
      </c>
      <c r="L217" s="1" t="s">
        <v>601</v>
      </c>
      <c r="M217" s="2">
        <v>10</v>
      </c>
      <c r="N217">
        <v>3.6</v>
      </c>
      <c r="O217">
        <v>3</v>
      </c>
      <c r="P217">
        <v>4</v>
      </c>
      <c r="Q217">
        <v>5.0999999999999996</v>
      </c>
      <c r="R217">
        <v>9.5</v>
      </c>
      <c r="S217" t="s">
        <v>40</v>
      </c>
    </row>
    <row r="218" spans="1:19" ht="43.5" x14ac:dyDescent="0.35">
      <c r="A218" t="s">
        <v>602</v>
      </c>
      <c r="B218">
        <v>19</v>
      </c>
      <c r="C218" t="s">
        <v>48</v>
      </c>
      <c r="D218" t="s">
        <v>74</v>
      </c>
      <c r="E218" t="s">
        <v>36</v>
      </c>
      <c r="F218" t="s">
        <v>49</v>
      </c>
      <c r="G218" s="1" t="s">
        <v>97</v>
      </c>
      <c r="H218" s="3">
        <v>58</v>
      </c>
      <c r="I218" t="s">
        <v>38</v>
      </c>
      <c r="J218" t="s">
        <v>71</v>
      </c>
      <c r="K218">
        <v>6.3</v>
      </c>
      <c r="L218" s="1" t="s">
        <v>603</v>
      </c>
      <c r="M218" s="2">
        <v>0</v>
      </c>
      <c r="N218">
        <v>8.8000000000000007</v>
      </c>
      <c r="O218">
        <v>3</v>
      </c>
      <c r="P218">
        <v>8</v>
      </c>
      <c r="Q218">
        <v>10</v>
      </c>
      <c r="R218">
        <v>7.3</v>
      </c>
      <c r="S218" t="s">
        <v>27</v>
      </c>
    </row>
    <row r="219" spans="1:19" ht="43.5" x14ac:dyDescent="0.35">
      <c r="A219" t="s">
        <v>604</v>
      </c>
      <c r="B219">
        <v>21</v>
      </c>
      <c r="C219" t="s">
        <v>48</v>
      </c>
      <c r="D219" t="s">
        <v>61</v>
      </c>
      <c r="E219" t="s">
        <v>36</v>
      </c>
      <c r="F219" t="s">
        <v>30</v>
      </c>
      <c r="G219" s="1" t="s">
        <v>605</v>
      </c>
      <c r="H219" s="3">
        <v>88</v>
      </c>
      <c r="I219" t="s">
        <v>38</v>
      </c>
      <c r="J219" t="s">
        <v>76</v>
      </c>
      <c r="K219">
        <v>1.6</v>
      </c>
      <c r="L219" s="1" t="s">
        <v>606</v>
      </c>
      <c r="M219" s="2">
        <v>10</v>
      </c>
      <c r="N219">
        <v>3.4</v>
      </c>
      <c r="O219">
        <v>3</v>
      </c>
      <c r="P219">
        <v>5</v>
      </c>
      <c r="Q219">
        <v>5.9</v>
      </c>
      <c r="R219">
        <v>6.5</v>
      </c>
      <c r="S219" t="s">
        <v>40</v>
      </c>
    </row>
    <row r="220" spans="1:19" ht="58" x14ac:dyDescent="0.35">
      <c r="A220" t="s">
        <v>607</v>
      </c>
      <c r="B220">
        <v>27</v>
      </c>
      <c r="C220" t="s">
        <v>48</v>
      </c>
      <c r="D220" t="s">
        <v>29</v>
      </c>
      <c r="E220" t="s">
        <v>36</v>
      </c>
      <c r="F220" t="s">
        <v>23</v>
      </c>
      <c r="G220" s="1" t="s">
        <v>362</v>
      </c>
      <c r="H220" s="3">
        <v>335</v>
      </c>
      <c r="I220" t="s">
        <v>51</v>
      </c>
      <c r="J220" t="s">
        <v>39</v>
      </c>
      <c r="K220">
        <v>1.5</v>
      </c>
      <c r="L220" s="1" t="s">
        <v>608</v>
      </c>
      <c r="M220" s="2">
        <v>20</v>
      </c>
      <c r="N220">
        <v>4</v>
      </c>
      <c r="O220">
        <v>3</v>
      </c>
      <c r="P220">
        <v>6</v>
      </c>
      <c r="Q220">
        <v>4.2</v>
      </c>
      <c r="R220">
        <v>4.9000000000000004</v>
      </c>
      <c r="S220" t="s">
        <v>40</v>
      </c>
    </row>
    <row r="221" spans="1:19" ht="72.5" x14ac:dyDescent="0.35">
      <c r="A221" t="s">
        <v>609</v>
      </c>
      <c r="B221">
        <v>22</v>
      </c>
      <c r="C221" t="s">
        <v>20</v>
      </c>
      <c r="D221" t="s">
        <v>96</v>
      </c>
      <c r="E221" t="s">
        <v>36</v>
      </c>
      <c r="F221" t="s">
        <v>49</v>
      </c>
      <c r="G221" s="1" t="s">
        <v>353</v>
      </c>
      <c r="H221" s="3">
        <v>0</v>
      </c>
      <c r="I221" t="s">
        <v>449</v>
      </c>
      <c r="J221" t="s">
        <v>64</v>
      </c>
      <c r="K221">
        <v>0.7</v>
      </c>
      <c r="L221" s="1" t="s">
        <v>610</v>
      </c>
      <c r="M221" s="2">
        <v>30</v>
      </c>
      <c r="N221">
        <v>3.4</v>
      </c>
      <c r="O221">
        <v>4</v>
      </c>
      <c r="P221">
        <v>6</v>
      </c>
      <c r="Q221">
        <v>5.9</v>
      </c>
      <c r="R221">
        <v>5.4</v>
      </c>
      <c r="S221" t="s">
        <v>40</v>
      </c>
    </row>
    <row r="222" spans="1:19" ht="58" x14ac:dyDescent="0.35">
      <c r="A222" t="s">
        <v>611</v>
      </c>
      <c r="C222" t="s">
        <v>20</v>
      </c>
      <c r="D222" t="s">
        <v>21</v>
      </c>
      <c r="E222" t="s">
        <v>22</v>
      </c>
      <c r="F222" t="s">
        <v>104</v>
      </c>
      <c r="G222" s="1" t="s">
        <v>162</v>
      </c>
      <c r="H222" s="3">
        <v>2303</v>
      </c>
      <c r="I222" t="s">
        <v>51</v>
      </c>
      <c r="J222" t="s">
        <v>71</v>
      </c>
      <c r="K222">
        <v>4.4000000000000004</v>
      </c>
      <c r="L222" s="1" t="s">
        <v>612</v>
      </c>
      <c r="M222" s="2">
        <v>20</v>
      </c>
      <c r="N222">
        <v>5.8</v>
      </c>
      <c r="O222">
        <v>5</v>
      </c>
      <c r="P222">
        <v>9</v>
      </c>
      <c r="Q222">
        <v>11.3</v>
      </c>
      <c r="R222">
        <v>7.8</v>
      </c>
      <c r="S222" t="s">
        <v>27</v>
      </c>
    </row>
    <row r="223" spans="1:19" ht="58" x14ac:dyDescent="0.35">
      <c r="A223" t="s">
        <v>613</v>
      </c>
      <c r="C223" t="s">
        <v>20</v>
      </c>
      <c r="D223" t="s">
        <v>35</v>
      </c>
      <c r="E223" t="s">
        <v>22</v>
      </c>
      <c r="F223" t="s">
        <v>62</v>
      </c>
      <c r="G223" s="1" t="s">
        <v>414</v>
      </c>
      <c r="H223" s="3">
        <v>3779</v>
      </c>
      <c r="I223" t="s">
        <v>38</v>
      </c>
      <c r="J223" t="s">
        <v>39</v>
      </c>
      <c r="K223">
        <v>5.7</v>
      </c>
      <c r="L223" s="1" t="s">
        <v>614</v>
      </c>
      <c r="M223" s="2">
        <v>0</v>
      </c>
      <c r="N223">
        <v>6.7</v>
      </c>
      <c r="O223">
        <v>2</v>
      </c>
      <c r="P223">
        <v>5</v>
      </c>
      <c r="Q223">
        <v>13</v>
      </c>
      <c r="R223">
        <v>6.6</v>
      </c>
      <c r="S223" t="s">
        <v>46</v>
      </c>
    </row>
    <row r="224" spans="1:19" ht="58" x14ac:dyDescent="0.35">
      <c r="A224" t="s">
        <v>615</v>
      </c>
      <c r="B224">
        <v>41</v>
      </c>
      <c r="C224" t="s">
        <v>20</v>
      </c>
      <c r="D224" t="s">
        <v>74</v>
      </c>
      <c r="E224" t="s">
        <v>22</v>
      </c>
      <c r="F224" t="s">
        <v>62</v>
      </c>
      <c r="G224" s="1" t="s">
        <v>616</v>
      </c>
      <c r="H224" s="3">
        <v>672</v>
      </c>
      <c r="I224" t="s">
        <v>68</v>
      </c>
      <c r="J224" t="s">
        <v>64</v>
      </c>
      <c r="K224">
        <v>8.1</v>
      </c>
      <c r="L224" s="1" t="s">
        <v>617</v>
      </c>
      <c r="M224" s="2">
        <v>0</v>
      </c>
      <c r="N224">
        <v>5.6</v>
      </c>
      <c r="O224">
        <v>5</v>
      </c>
      <c r="P224">
        <v>8</v>
      </c>
      <c r="Q224">
        <v>16.5</v>
      </c>
      <c r="R224">
        <v>7.4</v>
      </c>
      <c r="S224" t="s">
        <v>27</v>
      </c>
    </row>
    <row r="225" spans="1:19" ht="58" x14ac:dyDescent="0.35">
      <c r="A225" t="s">
        <v>272</v>
      </c>
      <c r="B225">
        <v>30</v>
      </c>
      <c r="C225" t="s">
        <v>20</v>
      </c>
      <c r="D225" t="s">
        <v>61</v>
      </c>
      <c r="E225" t="s">
        <v>22</v>
      </c>
      <c r="F225" t="s">
        <v>23</v>
      </c>
      <c r="G225" s="1" t="s">
        <v>153</v>
      </c>
      <c r="H225" s="3">
        <v>579</v>
      </c>
      <c r="I225" t="s">
        <v>449</v>
      </c>
      <c r="J225" t="s">
        <v>39</v>
      </c>
      <c r="K225">
        <v>3.8</v>
      </c>
      <c r="L225" s="1" t="s">
        <v>273</v>
      </c>
      <c r="M225" s="2">
        <v>0</v>
      </c>
      <c r="N225">
        <v>6.1</v>
      </c>
      <c r="O225">
        <v>4</v>
      </c>
      <c r="P225">
        <v>6</v>
      </c>
      <c r="Q225">
        <v>9.4</v>
      </c>
      <c r="R225">
        <v>7.4</v>
      </c>
      <c r="S225" t="s">
        <v>46</v>
      </c>
    </row>
    <row r="226" spans="1:19" ht="58" x14ac:dyDescent="0.35">
      <c r="A226" t="s">
        <v>618</v>
      </c>
      <c r="C226" t="s">
        <v>20</v>
      </c>
      <c r="D226" t="s">
        <v>96</v>
      </c>
      <c r="E226" t="s">
        <v>36</v>
      </c>
      <c r="F226" t="s">
        <v>62</v>
      </c>
      <c r="G226" s="1" t="s">
        <v>619</v>
      </c>
      <c r="H226" s="3">
        <v>0</v>
      </c>
      <c r="I226" t="s">
        <v>178</v>
      </c>
      <c r="J226" t="s">
        <v>55</v>
      </c>
      <c r="K226">
        <v>2</v>
      </c>
      <c r="L226" s="1" t="s">
        <v>620</v>
      </c>
      <c r="M226" s="2">
        <v>0</v>
      </c>
      <c r="N226">
        <v>3.6</v>
      </c>
      <c r="O226">
        <v>5</v>
      </c>
      <c r="P226">
        <v>5</v>
      </c>
      <c r="Q226">
        <v>3.6</v>
      </c>
      <c r="R226">
        <v>4.4000000000000004</v>
      </c>
      <c r="S226" t="s">
        <v>46</v>
      </c>
    </row>
    <row r="227" spans="1:19" ht="29" x14ac:dyDescent="0.35">
      <c r="A227" t="s">
        <v>621</v>
      </c>
      <c r="B227">
        <v>19</v>
      </c>
      <c r="C227" t="s">
        <v>48</v>
      </c>
      <c r="D227" t="s">
        <v>29</v>
      </c>
      <c r="E227" t="s">
        <v>36</v>
      </c>
      <c r="F227" t="s">
        <v>30</v>
      </c>
      <c r="G227" s="1" t="s">
        <v>132</v>
      </c>
      <c r="H227" s="3">
        <v>135</v>
      </c>
      <c r="I227" t="s">
        <v>68</v>
      </c>
      <c r="J227" t="s">
        <v>119</v>
      </c>
      <c r="K227">
        <v>3.9</v>
      </c>
      <c r="M227" s="2">
        <v>0</v>
      </c>
      <c r="N227">
        <v>5.2</v>
      </c>
      <c r="O227">
        <v>4</v>
      </c>
      <c r="P227">
        <v>7</v>
      </c>
      <c r="Q227">
        <v>9.8000000000000007</v>
      </c>
      <c r="R227">
        <v>5.0999999999999996</v>
      </c>
      <c r="S227" t="s">
        <v>27</v>
      </c>
    </row>
    <row r="228" spans="1:19" ht="72.5" x14ac:dyDescent="0.35">
      <c r="A228" t="s">
        <v>506</v>
      </c>
      <c r="B228">
        <v>39</v>
      </c>
      <c r="C228" t="s">
        <v>20</v>
      </c>
      <c r="D228" t="s">
        <v>96</v>
      </c>
      <c r="E228" t="s">
        <v>22</v>
      </c>
      <c r="F228" t="s">
        <v>23</v>
      </c>
      <c r="G228" s="1" t="s">
        <v>310</v>
      </c>
      <c r="H228" s="3">
        <v>1106</v>
      </c>
      <c r="I228" t="s">
        <v>449</v>
      </c>
      <c r="J228" t="s">
        <v>39</v>
      </c>
      <c r="K228">
        <v>4.4000000000000004</v>
      </c>
      <c r="L228" s="1" t="s">
        <v>507</v>
      </c>
      <c r="M228" s="2">
        <v>0</v>
      </c>
      <c r="N228">
        <v>6.1</v>
      </c>
      <c r="O228">
        <v>4</v>
      </c>
      <c r="P228">
        <v>8</v>
      </c>
      <c r="Q228">
        <v>7.7</v>
      </c>
      <c r="R228">
        <v>6.4</v>
      </c>
      <c r="S228" t="s">
        <v>27</v>
      </c>
    </row>
    <row r="229" spans="1:19" ht="72.5" x14ac:dyDescent="0.35">
      <c r="A229" t="s">
        <v>622</v>
      </c>
      <c r="C229" t="s">
        <v>20</v>
      </c>
      <c r="D229" t="s">
        <v>21</v>
      </c>
      <c r="E229" t="s">
        <v>36</v>
      </c>
      <c r="F229" t="s">
        <v>30</v>
      </c>
      <c r="G229" s="1" t="s">
        <v>79</v>
      </c>
      <c r="H229" s="3">
        <v>334</v>
      </c>
      <c r="I229" t="s">
        <v>38</v>
      </c>
      <c r="J229" t="s">
        <v>119</v>
      </c>
      <c r="K229">
        <v>4.0999999999999996</v>
      </c>
      <c r="L229" s="1" t="s">
        <v>623</v>
      </c>
      <c r="M229" s="2">
        <v>20</v>
      </c>
      <c r="N229">
        <v>5.2</v>
      </c>
      <c r="O229">
        <v>3</v>
      </c>
      <c r="P229">
        <v>7</v>
      </c>
      <c r="Q229">
        <v>8.4</v>
      </c>
      <c r="R229">
        <v>5.9</v>
      </c>
      <c r="S229" t="s">
        <v>27</v>
      </c>
    </row>
    <row r="230" spans="1:19" ht="43.5" x14ac:dyDescent="0.35">
      <c r="A230" t="s">
        <v>624</v>
      </c>
      <c r="B230">
        <v>22</v>
      </c>
      <c r="C230" t="s">
        <v>48</v>
      </c>
      <c r="D230" t="s">
        <v>748</v>
      </c>
      <c r="E230" t="s">
        <v>36</v>
      </c>
      <c r="F230" t="s">
        <v>62</v>
      </c>
      <c r="G230" s="1" t="s">
        <v>37</v>
      </c>
      <c r="H230" s="3">
        <v>158</v>
      </c>
      <c r="I230" t="s">
        <v>38</v>
      </c>
      <c r="J230" t="s">
        <v>39</v>
      </c>
      <c r="K230">
        <v>1.6</v>
      </c>
      <c r="L230" s="1" t="s">
        <v>625</v>
      </c>
      <c r="M230" s="2">
        <v>10</v>
      </c>
      <c r="N230">
        <v>3.1</v>
      </c>
      <c r="O230">
        <v>4</v>
      </c>
      <c r="P230">
        <v>6</v>
      </c>
      <c r="Q230">
        <v>5.9</v>
      </c>
      <c r="R230">
        <v>8.4</v>
      </c>
      <c r="S230" t="s">
        <v>27</v>
      </c>
    </row>
    <row r="231" spans="1:19" ht="58" x14ac:dyDescent="0.35">
      <c r="A231" t="s">
        <v>626</v>
      </c>
      <c r="B231">
        <v>27</v>
      </c>
      <c r="C231" t="s">
        <v>20</v>
      </c>
      <c r="D231" t="s">
        <v>35</v>
      </c>
      <c r="E231" t="s">
        <v>36</v>
      </c>
      <c r="F231" t="s">
        <v>49</v>
      </c>
      <c r="G231" s="1" t="s">
        <v>86</v>
      </c>
      <c r="H231" s="3">
        <v>0</v>
      </c>
      <c r="I231" t="s">
        <v>449</v>
      </c>
      <c r="J231" t="s">
        <v>39</v>
      </c>
      <c r="K231">
        <v>4.9000000000000004</v>
      </c>
      <c r="L231" s="1" t="s">
        <v>627</v>
      </c>
      <c r="M231" s="2">
        <v>20</v>
      </c>
      <c r="N231">
        <v>5.8</v>
      </c>
      <c r="O231">
        <v>4</v>
      </c>
      <c r="P231">
        <v>7</v>
      </c>
      <c r="Q231">
        <v>9</v>
      </c>
      <c r="R231">
        <v>6</v>
      </c>
      <c r="S231" t="s">
        <v>27</v>
      </c>
    </row>
    <row r="232" spans="1:19" ht="58" x14ac:dyDescent="0.35">
      <c r="A232" t="s">
        <v>628</v>
      </c>
      <c r="B232">
        <v>18</v>
      </c>
      <c r="C232" t="s">
        <v>48</v>
      </c>
      <c r="D232" t="s">
        <v>35</v>
      </c>
      <c r="E232" t="s">
        <v>36</v>
      </c>
      <c r="G232" s="1" t="s">
        <v>132</v>
      </c>
      <c r="H232" s="3">
        <v>56</v>
      </c>
      <c r="I232" t="s">
        <v>178</v>
      </c>
      <c r="J232" t="s">
        <v>119</v>
      </c>
      <c r="K232">
        <v>1.7</v>
      </c>
      <c r="L232" s="1" t="s">
        <v>629</v>
      </c>
      <c r="M232" s="2">
        <v>30</v>
      </c>
      <c r="N232">
        <v>4.9000000000000004</v>
      </c>
      <c r="O232">
        <v>3</v>
      </c>
      <c r="P232">
        <v>5</v>
      </c>
      <c r="Q232">
        <v>1.9</v>
      </c>
      <c r="R232">
        <v>4.3</v>
      </c>
      <c r="S232" t="s">
        <v>27</v>
      </c>
    </row>
    <row r="233" spans="1:19" ht="58" x14ac:dyDescent="0.35">
      <c r="A233" t="s">
        <v>630</v>
      </c>
      <c r="B233">
        <v>16</v>
      </c>
      <c r="C233" t="s">
        <v>48</v>
      </c>
      <c r="D233" t="s">
        <v>29</v>
      </c>
      <c r="E233" t="s">
        <v>36</v>
      </c>
      <c r="F233" t="s">
        <v>62</v>
      </c>
      <c r="G233" s="1" t="s">
        <v>250</v>
      </c>
      <c r="H233" s="3">
        <v>118</v>
      </c>
      <c r="I233" t="s">
        <v>44</v>
      </c>
      <c r="J233" t="s">
        <v>76</v>
      </c>
      <c r="K233">
        <v>0.7</v>
      </c>
      <c r="L233" s="1" t="s">
        <v>631</v>
      </c>
      <c r="M233" s="2">
        <v>0</v>
      </c>
      <c r="N233">
        <v>4.5</v>
      </c>
      <c r="O233">
        <v>4</v>
      </c>
      <c r="P233">
        <v>7</v>
      </c>
      <c r="Q233">
        <v>1</v>
      </c>
      <c r="R233">
        <v>5.9</v>
      </c>
      <c r="S233" t="s">
        <v>27</v>
      </c>
    </row>
    <row r="234" spans="1:19" ht="72.5" x14ac:dyDescent="0.35">
      <c r="A234" t="s">
        <v>632</v>
      </c>
      <c r="B234">
        <v>18</v>
      </c>
      <c r="C234" t="s">
        <v>20</v>
      </c>
      <c r="D234" t="s">
        <v>74</v>
      </c>
      <c r="E234" t="s">
        <v>36</v>
      </c>
      <c r="F234" t="s">
        <v>49</v>
      </c>
      <c r="G234" s="1" t="s">
        <v>514</v>
      </c>
      <c r="H234" s="3">
        <v>80</v>
      </c>
      <c r="I234" t="s">
        <v>116</v>
      </c>
      <c r="J234" t="s">
        <v>76</v>
      </c>
      <c r="K234">
        <v>4.0999999999999996</v>
      </c>
      <c r="L234" s="1" t="s">
        <v>633</v>
      </c>
      <c r="M234" s="2">
        <v>20</v>
      </c>
      <c r="N234">
        <v>7</v>
      </c>
      <c r="O234">
        <v>5</v>
      </c>
      <c r="P234">
        <v>8</v>
      </c>
      <c r="Q234">
        <v>10.5</v>
      </c>
      <c r="R234">
        <v>5.8</v>
      </c>
      <c r="S234" t="s">
        <v>27</v>
      </c>
    </row>
    <row r="235" spans="1:19" ht="58" x14ac:dyDescent="0.35">
      <c r="A235" t="s">
        <v>634</v>
      </c>
      <c r="B235">
        <v>41</v>
      </c>
      <c r="C235" t="s">
        <v>48</v>
      </c>
      <c r="D235" t="s">
        <v>96</v>
      </c>
      <c r="E235" t="s">
        <v>22</v>
      </c>
      <c r="F235" t="s">
        <v>104</v>
      </c>
      <c r="H235" s="3">
        <v>627</v>
      </c>
      <c r="I235" t="s">
        <v>116</v>
      </c>
      <c r="J235" t="s">
        <v>32</v>
      </c>
      <c r="K235">
        <v>0.7</v>
      </c>
      <c r="L235" s="1" t="s">
        <v>635</v>
      </c>
      <c r="M235" s="2">
        <v>0</v>
      </c>
      <c r="N235">
        <v>2.2999999999999998</v>
      </c>
      <c r="O235">
        <v>4</v>
      </c>
      <c r="P235">
        <v>5</v>
      </c>
      <c r="Q235">
        <v>3</v>
      </c>
      <c r="R235">
        <v>6.9</v>
      </c>
      <c r="S235" t="s">
        <v>27</v>
      </c>
    </row>
    <row r="236" spans="1:19" ht="58" x14ac:dyDescent="0.35">
      <c r="A236" t="s">
        <v>636</v>
      </c>
      <c r="B236">
        <v>25</v>
      </c>
      <c r="C236" t="s">
        <v>20</v>
      </c>
      <c r="D236" t="s">
        <v>74</v>
      </c>
      <c r="E236" t="s">
        <v>22</v>
      </c>
      <c r="F236" t="s">
        <v>30</v>
      </c>
      <c r="G236" s="1" t="s">
        <v>162</v>
      </c>
      <c r="H236" s="3">
        <v>863</v>
      </c>
      <c r="I236" t="s">
        <v>116</v>
      </c>
      <c r="J236" t="s">
        <v>71</v>
      </c>
      <c r="K236">
        <v>1.8</v>
      </c>
      <c r="L236" s="1" t="s">
        <v>637</v>
      </c>
      <c r="N236">
        <v>5.0999999999999996</v>
      </c>
      <c r="O236">
        <v>4</v>
      </c>
      <c r="P236">
        <v>6</v>
      </c>
      <c r="Q236">
        <v>2.7</v>
      </c>
      <c r="R236">
        <v>10.3</v>
      </c>
      <c r="S236" t="s">
        <v>46</v>
      </c>
    </row>
    <row r="237" spans="1:19" ht="72.5" x14ac:dyDescent="0.35">
      <c r="A237" t="s">
        <v>638</v>
      </c>
      <c r="B237">
        <v>22</v>
      </c>
      <c r="C237" t="s">
        <v>48</v>
      </c>
      <c r="D237" t="s">
        <v>35</v>
      </c>
      <c r="E237" t="s">
        <v>36</v>
      </c>
      <c r="F237" t="s">
        <v>62</v>
      </c>
      <c r="G237" s="1" t="s">
        <v>132</v>
      </c>
      <c r="H237" s="3">
        <v>0</v>
      </c>
      <c r="I237" t="s">
        <v>178</v>
      </c>
      <c r="J237" t="s">
        <v>119</v>
      </c>
      <c r="K237">
        <v>2</v>
      </c>
      <c r="L237" s="1" t="s">
        <v>639</v>
      </c>
      <c r="M237" s="2">
        <v>0</v>
      </c>
      <c r="N237">
        <v>4.9000000000000004</v>
      </c>
      <c r="P237">
        <v>6</v>
      </c>
      <c r="Q237">
        <v>4.3</v>
      </c>
      <c r="R237">
        <v>8.3000000000000007</v>
      </c>
      <c r="S237" t="s">
        <v>40</v>
      </c>
    </row>
    <row r="238" spans="1:19" ht="58" x14ac:dyDescent="0.35">
      <c r="A238" t="s">
        <v>640</v>
      </c>
      <c r="B238">
        <v>22</v>
      </c>
      <c r="C238" t="s">
        <v>20</v>
      </c>
      <c r="D238" t="s">
        <v>96</v>
      </c>
      <c r="E238" t="s">
        <v>36</v>
      </c>
      <c r="F238" t="s">
        <v>23</v>
      </c>
      <c r="G238" s="1" t="s">
        <v>97</v>
      </c>
      <c r="H238" s="3">
        <v>167</v>
      </c>
      <c r="I238" t="s">
        <v>38</v>
      </c>
      <c r="J238" t="s">
        <v>71</v>
      </c>
      <c r="K238">
        <v>8.6</v>
      </c>
      <c r="L238" s="1" t="s">
        <v>641</v>
      </c>
      <c r="M238" s="2">
        <v>0</v>
      </c>
      <c r="N238">
        <v>7.6</v>
      </c>
      <c r="P238">
        <v>6</v>
      </c>
      <c r="Q238">
        <v>17.7</v>
      </c>
      <c r="R238">
        <v>5.5</v>
      </c>
      <c r="S238" t="s">
        <v>40</v>
      </c>
    </row>
    <row r="239" spans="1:19" ht="43.5" x14ac:dyDescent="0.35">
      <c r="A239" t="s">
        <v>642</v>
      </c>
      <c r="B239">
        <v>26</v>
      </c>
      <c r="C239" t="s">
        <v>20</v>
      </c>
      <c r="D239" t="s">
        <v>42</v>
      </c>
      <c r="E239" t="s">
        <v>36</v>
      </c>
      <c r="F239" t="s">
        <v>49</v>
      </c>
      <c r="G239" s="1" t="s">
        <v>643</v>
      </c>
      <c r="H239" s="3">
        <v>73</v>
      </c>
      <c r="I239" t="s">
        <v>38</v>
      </c>
      <c r="J239" t="s">
        <v>71</v>
      </c>
      <c r="L239" s="1" t="s">
        <v>644</v>
      </c>
      <c r="M239" s="2">
        <v>0</v>
      </c>
      <c r="N239">
        <v>3.4</v>
      </c>
      <c r="O239">
        <v>2</v>
      </c>
      <c r="P239">
        <v>4</v>
      </c>
      <c r="Q239">
        <v>1.5</v>
      </c>
      <c r="R239">
        <v>5.8</v>
      </c>
      <c r="S239" t="s">
        <v>27</v>
      </c>
    </row>
    <row r="240" spans="1:19" ht="58" x14ac:dyDescent="0.35">
      <c r="A240" t="s">
        <v>645</v>
      </c>
      <c r="B240">
        <v>23</v>
      </c>
      <c r="C240" t="s">
        <v>48</v>
      </c>
      <c r="D240" t="s">
        <v>96</v>
      </c>
      <c r="E240" t="s">
        <v>36</v>
      </c>
      <c r="F240" t="s">
        <v>49</v>
      </c>
      <c r="G240" s="1" t="s">
        <v>97</v>
      </c>
      <c r="I240" t="s">
        <v>38</v>
      </c>
      <c r="J240" t="s">
        <v>71</v>
      </c>
      <c r="K240">
        <v>9.6999999999999993</v>
      </c>
      <c r="L240" s="1" t="s">
        <v>646</v>
      </c>
      <c r="M240" s="2">
        <v>0</v>
      </c>
      <c r="N240">
        <v>7.5</v>
      </c>
      <c r="O240">
        <v>4</v>
      </c>
      <c r="Q240">
        <v>17.2</v>
      </c>
      <c r="R240">
        <v>4.0999999999999996</v>
      </c>
      <c r="S240" t="s">
        <v>27</v>
      </c>
    </row>
    <row r="241" spans="1:19" ht="72.5" x14ac:dyDescent="0.35">
      <c r="A241" t="s">
        <v>451</v>
      </c>
      <c r="B241">
        <v>17</v>
      </c>
      <c r="C241" t="s">
        <v>20</v>
      </c>
      <c r="D241" t="s">
        <v>35</v>
      </c>
      <c r="E241" t="s">
        <v>36</v>
      </c>
      <c r="F241" t="s">
        <v>787</v>
      </c>
      <c r="G241" s="1" t="s">
        <v>452</v>
      </c>
      <c r="H241" s="3">
        <v>518</v>
      </c>
      <c r="J241" t="s">
        <v>119</v>
      </c>
      <c r="K241">
        <v>3.2</v>
      </c>
      <c r="L241" s="1" t="s">
        <v>453</v>
      </c>
      <c r="M241" s="2">
        <v>20</v>
      </c>
      <c r="N241">
        <v>5.2</v>
      </c>
      <c r="O241">
        <v>4</v>
      </c>
      <c r="P241">
        <v>8</v>
      </c>
      <c r="Q241">
        <v>4.8</v>
      </c>
      <c r="R241">
        <v>20</v>
      </c>
      <c r="S241" t="s">
        <v>27</v>
      </c>
    </row>
    <row r="242" spans="1:19" ht="58" x14ac:dyDescent="0.35">
      <c r="A242" t="s">
        <v>647</v>
      </c>
      <c r="B242">
        <v>38</v>
      </c>
      <c r="C242" t="s">
        <v>20</v>
      </c>
      <c r="D242" t="s">
        <v>96</v>
      </c>
      <c r="E242" t="s">
        <v>22</v>
      </c>
      <c r="F242" t="s">
        <v>23</v>
      </c>
      <c r="G242" s="1" t="s">
        <v>278</v>
      </c>
      <c r="H242" s="3">
        <v>1114</v>
      </c>
      <c r="I242" t="s">
        <v>449</v>
      </c>
      <c r="J242" t="s">
        <v>71</v>
      </c>
      <c r="L242" s="1" t="s">
        <v>648</v>
      </c>
      <c r="M242" s="2">
        <v>30</v>
      </c>
      <c r="N242">
        <v>3.8</v>
      </c>
      <c r="O242">
        <v>4</v>
      </c>
      <c r="P242">
        <v>7</v>
      </c>
      <c r="Q242">
        <v>1.5</v>
      </c>
      <c r="R242">
        <v>7.9</v>
      </c>
      <c r="S242" t="s">
        <v>27</v>
      </c>
    </row>
    <row r="243" spans="1:19" ht="72.5" x14ac:dyDescent="0.35">
      <c r="A243" t="s">
        <v>649</v>
      </c>
      <c r="B243">
        <v>28</v>
      </c>
      <c r="C243" t="s">
        <v>48</v>
      </c>
      <c r="D243" t="s">
        <v>21</v>
      </c>
      <c r="E243" t="s">
        <v>36</v>
      </c>
      <c r="F243" t="s">
        <v>49</v>
      </c>
      <c r="G243" s="1" t="s">
        <v>340</v>
      </c>
      <c r="H243" s="3">
        <v>528</v>
      </c>
      <c r="I243" t="s">
        <v>51</v>
      </c>
      <c r="J243" t="s">
        <v>119</v>
      </c>
      <c r="K243">
        <v>1.5</v>
      </c>
      <c r="L243" s="1" t="s">
        <v>650</v>
      </c>
      <c r="M243" s="2">
        <v>10</v>
      </c>
      <c r="O243">
        <v>3</v>
      </c>
      <c r="P243">
        <v>5</v>
      </c>
      <c r="Q243">
        <v>5.5</v>
      </c>
      <c r="R243">
        <v>5.7</v>
      </c>
      <c r="S243" t="s">
        <v>27</v>
      </c>
    </row>
    <row r="244" spans="1:19" ht="58" x14ac:dyDescent="0.35">
      <c r="A244" t="s">
        <v>651</v>
      </c>
      <c r="B244">
        <v>32</v>
      </c>
      <c r="C244" t="s">
        <v>20</v>
      </c>
      <c r="D244" t="s">
        <v>82</v>
      </c>
      <c r="E244" t="s">
        <v>36</v>
      </c>
      <c r="F244" t="s">
        <v>23</v>
      </c>
      <c r="G244" s="1" t="s">
        <v>378</v>
      </c>
      <c r="H244" s="3">
        <v>524</v>
      </c>
      <c r="I244" t="s">
        <v>38</v>
      </c>
      <c r="J244" t="s">
        <v>71</v>
      </c>
      <c r="K244">
        <v>7.2</v>
      </c>
      <c r="L244" s="1" t="s">
        <v>652</v>
      </c>
      <c r="M244" s="2">
        <v>100</v>
      </c>
      <c r="N244">
        <v>9.4</v>
      </c>
      <c r="O244">
        <v>3</v>
      </c>
      <c r="P244">
        <v>8</v>
      </c>
      <c r="Q244">
        <v>11.7</v>
      </c>
      <c r="R244">
        <v>6.5</v>
      </c>
      <c r="S244" t="s">
        <v>27</v>
      </c>
    </row>
    <row r="245" spans="1:19" ht="58" x14ac:dyDescent="0.35">
      <c r="A245" t="s">
        <v>653</v>
      </c>
      <c r="B245">
        <v>18</v>
      </c>
      <c r="C245" t="s">
        <v>48</v>
      </c>
      <c r="D245" t="s">
        <v>61</v>
      </c>
      <c r="E245" t="s">
        <v>36</v>
      </c>
      <c r="F245" t="s">
        <v>49</v>
      </c>
      <c r="G245" s="1" t="s">
        <v>149</v>
      </c>
      <c r="H245" s="3">
        <v>0</v>
      </c>
      <c r="I245" t="s">
        <v>116</v>
      </c>
      <c r="J245" t="s">
        <v>119</v>
      </c>
      <c r="K245">
        <v>0.9</v>
      </c>
      <c r="L245" s="1" t="s">
        <v>654</v>
      </c>
      <c r="N245">
        <v>4.9000000000000004</v>
      </c>
      <c r="O245">
        <v>4</v>
      </c>
      <c r="P245">
        <v>6</v>
      </c>
      <c r="Q245">
        <v>2.5</v>
      </c>
      <c r="R245">
        <v>6.1</v>
      </c>
      <c r="S245" t="s">
        <v>40</v>
      </c>
    </row>
    <row r="246" spans="1:19" ht="58" x14ac:dyDescent="0.35">
      <c r="A246" t="s">
        <v>655</v>
      </c>
      <c r="B246">
        <v>39</v>
      </c>
      <c r="C246" t="s">
        <v>20</v>
      </c>
      <c r="D246" t="s">
        <v>74</v>
      </c>
      <c r="E246" t="s">
        <v>22</v>
      </c>
      <c r="F246" t="s">
        <v>30</v>
      </c>
      <c r="G246" s="1" t="s">
        <v>656</v>
      </c>
      <c r="H246" s="3">
        <v>915</v>
      </c>
      <c r="I246" t="s">
        <v>38</v>
      </c>
      <c r="J246" t="s">
        <v>32</v>
      </c>
      <c r="K246">
        <v>6</v>
      </c>
      <c r="L246" s="1" t="s">
        <v>657</v>
      </c>
      <c r="M246" s="2">
        <v>0</v>
      </c>
      <c r="N246">
        <v>10</v>
      </c>
      <c r="O246">
        <v>2</v>
      </c>
      <c r="P246">
        <v>8</v>
      </c>
      <c r="R246">
        <v>6.6</v>
      </c>
      <c r="S246" t="s">
        <v>27</v>
      </c>
    </row>
    <row r="247" spans="1:19" ht="58" x14ac:dyDescent="0.35">
      <c r="A247" t="s">
        <v>658</v>
      </c>
      <c r="B247">
        <v>39</v>
      </c>
      <c r="C247" t="s">
        <v>20</v>
      </c>
      <c r="D247" t="s">
        <v>96</v>
      </c>
      <c r="E247" t="s">
        <v>22</v>
      </c>
      <c r="F247" t="s">
        <v>104</v>
      </c>
      <c r="G247" s="1" t="s">
        <v>659</v>
      </c>
      <c r="H247" s="3">
        <v>483</v>
      </c>
      <c r="I247" t="s">
        <v>137</v>
      </c>
      <c r="J247" t="s">
        <v>32</v>
      </c>
      <c r="K247">
        <v>0.6</v>
      </c>
      <c r="L247" s="1" t="s">
        <v>660</v>
      </c>
      <c r="M247" s="2">
        <v>25</v>
      </c>
      <c r="N247">
        <v>4.9000000000000004</v>
      </c>
      <c r="O247">
        <v>4</v>
      </c>
      <c r="P247">
        <v>6</v>
      </c>
      <c r="Q247">
        <v>4</v>
      </c>
      <c r="R247">
        <v>7.1</v>
      </c>
      <c r="S247" t="s">
        <v>27</v>
      </c>
    </row>
    <row r="248" spans="1:19" ht="43.5" x14ac:dyDescent="0.35">
      <c r="A248" t="s">
        <v>661</v>
      </c>
      <c r="B248">
        <v>41</v>
      </c>
      <c r="C248" t="s">
        <v>48</v>
      </c>
      <c r="D248" t="s">
        <v>113</v>
      </c>
      <c r="E248" t="s">
        <v>22</v>
      </c>
      <c r="F248" t="s">
        <v>104</v>
      </c>
      <c r="G248" s="1" t="s">
        <v>662</v>
      </c>
      <c r="H248" s="3">
        <v>3795</v>
      </c>
      <c r="I248" t="s">
        <v>449</v>
      </c>
      <c r="J248" t="s">
        <v>39</v>
      </c>
      <c r="K248">
        <v>2.9</v>
      </c>
      <c r="L248" s="1" t="s">
        <v>663</v>
      </c>
      <c r="M248" s="2">
        <v>20</v>
      </c>
      <c r="N248">
        <v>7.8</v>
      </c>
      <c r="O248">
        <v>4</v>
      </c>
      <c r="P248">
        <v>6</v>
      </c>
      <c r="Q248">
        <v>8.4</v>
      </c>
      <c r="R248">
        <v>6.8</v>
      </c>
      <c r="S248" t="s">
        <v>27</v>
      </c>
    </row>
    <row r="249" spans="1:19" ht="72.5" x14ac:dyDescent="0.35">
      <c r="A249" t="s">
        <v>664</v>
      </c>
      <c r="B249">
        <v>23</v>
      </c>
      <c r="C249" t="s">
        <v>20</v>
      </c>
      <c r="D249" t="s">
        <v>113</v>
      </c>
      <c r="E249" t="s">
        <v>22</v>
      </c>
      <c r="F249" t="s">
        <v>23</v>
      </c>
      <c r="G249" s="1" t="s">
        <v>665</v>
      </c>
      <c r="H249" s="3">
        <v>5976</v>
      </c>
      <c r="I249" t="s">
        <v>38</v>
      </c>
      <c r="J249" t="s">
        <v>25</v>
      </c>
      <c r="K249">
        <v>2</v>
      </c>
      <c r="L249" s="1" t="s">
        <v>666</v>
      </c>
      <c r="M249" s="2">
        <v>0</v>
      </c>
      <c r="N249">
        <v>5</v>
      </c>
      <c r="O249">
        <v>2</v>
      </c>
      <c r="P249">
        <v>5</v>
      </c>
      <c r="Q249">
        <v>5.8</v>
      </c>
      <c r="R249">
        <v>6.6</v>
      </c>
      <c r="S249" t="s">
        <v>46</v>
      </c>
    </row>
    <row r="250" spans="1:19" ht="87" x14ac:dyDescent="0.35">
      <c r="A250" t="s">
        <v>667</v>
      </c>
      <c r="B250">
        <v>35</v>
      </c>
      <c r="C250" t="s">
        <v>48</v>
      </c>
      <c r="D250" t="s">
        <v>21</v>
      </c>
      <c r="E250" t="s">
        <v>22</v>
      </c>
      <c r="F250" t="s">
        <v>30</v>
      </c>
      <c r="G250" s="1" t="s">
        <v>24</v>
      </c>
      <c r="H250" s="3">
        <v>3513</v>
      </c>
      <c r="I250" t="s">
        <v>51</v>
      </c>
      <c r="J250" t="s">
        <v>55</v>
      </c>
      <c r="K250">
        <v>1.5</v>
      </c>
      <c r="L250" s="1" t="s">
        <v>668</v>
      </c>
      <c r="M250" s="2">
        <v>0</v>
      </c>
      <c r="O250">
        <v>4</v>
      </c>
      <c r="P250">
        <v>7</v>
      </c>
      <c r="Q250">
        <v>1.9</v>
      </c>
      <c r="R250">
        <v>8</v>
      </c>
      <c r="S250" t="s">
        <v>27</v>
      </c>
    </row>
    <row r="251" spans="1:19" x14ac:dyDescent="0.35">
      <c r="A251" t="s">
        <v>669</v>
      </c>
      <c r="B251">
        <v>32</v>
      </c>
      <c r="C251" t="s">
        <v>20</v>
      </c>
      <c r="D251" t="s">
        <v>96</v>
      </c>
      <c r="E251" t="s">
        <v>36</v>
      </c>
      <c r="F251" t="s">
        <v>30</v>
      </c>
      <c r="G251" s="1" t="s">
        <v>243</v>
      </c>
      <c r="H251" s="3">
        <v>110</v>
      </c>
      <c r="I251" t="s">
        <v>38</v>
      </c>
      <c r="J251" t="s">
        <v>76</v>
      </c>
      <c r="K251">
        <v>3.3</v>
      </c>
      <c r="M251" s="2">
        <v>0</v>
      </c>
      <c r="N251">
        <v>6.3</v>
      </c>
      <c r="O251">
        <v>5</v>
      </c>
      <c r="P251">
        <v>10</v>
      </c>
      <c r="Q251">
        <v>5.9</v>
      </c>
      <c r="R251">
        <v>8.1999999999999993</v>
      </c>
      <c r="S251" t="s">
        <v>27</v>
      </c>
    </row>
    <row r="252" spans="1:19" ht="43.5" x14ac:dyDescent="0.35">
      <c r="A252" t="s">
        <v>670</v>
      </c>
      <c r="B252">
        <v>49</v>
      </c>
      <c r="C252" t="s">
        <v>20</v>
      </c>
      <c r="D252" t="s">
        <v>29</v>
      </c>
      <c r="E252" t="s">
        <v>22</v>
      </c>
      <c r="F252" t="s">
        <v>104</v>
      </c>
      <c r="G252" s="1" t="s">
        <v>671</v>
      </c>
      <c r="H252" s="3">
        <v>2690</v>
      </c>
      <c r="I252" t="s">
        <v>137</v>
      </c>
      <c r="J252" t="s">
        <v>39</v>
      </c>
      <c r="K252">
        <v>0.6</v>
      </c>
      <c r="L252" s="1" t="s">
        <v>672</v>
      </c>
      <c r="M252" s="2">
        <v>10</v>
      </c>
      <c r="N252">
        <v>1.6</v>
      </c>
      <c r="P252">
        <v>3</v>
      </c>
      <c r="Q252">
        <v>2.2000000000000002</v>
      </c>
      <c r="R252">
        <v>6.5</v>
      </c>
      <c r="S252" t="s">
        <v>40</v>
      </c>
    </row>
    <row r="253" spans="1:19" ht="72.5" x14ac:dyDescent="0.35">
      <c r="A253" t="s">
        <v>673</v>
      </c>
      <c r="C253" t="s">
        <v>195</v>
      </c>
      <c r="D253" t="s">
        <v>21</v>
      </c>
      <c r="E253" t="s">
        <v>22</v>
      </c>
      <c r="F253" t="s">
        <v>30</v>
      </c>
      <c r="H253" s="3">
        <v>4102</v>
      </c>
      <c r="I253" t="s">
        <v>178</v>
      </c>
      <c r="J253" t="s">
        <v>64</v>
      </c>
      <c r="K253">
        <v>2.5</v>
      </c>
      <c r="L253" s="1" t="s">
        <v>674</v>
      </c>
      <c r="M253" s="2">
        <v>10</v>
      </c>
      <c r="N253">
        <v>6.1</v>
      </c>
      <c r="O253">
        <v>5</v>
      </c>
      <c r="P253">
        <v>7</v>
      </c>
      <c r="Q253">
        <v>5.6</v>
      </c>
      <c r="R253">
        <v>7.5</v>
      </c>
      <c r="S253" t="s">
        <v>27</v>
      </c>
    </row>
    <row r="254" spans="1:19" ht="58" x14ac:dyDescent="0.35">
      <c r="A254" t="s">
        <v>675</v>
      </c>
      <c r="C254" t="s">
        <v>48</v>
      </c>
      <c r="D254" t="s">
        <v>29</v>
      </c>
      <c r="E254" t="s">
        <v>36</v>
      </c>
      <c r="F254" t="s">
        <v>30</v>
      </c>
      <c r="G254" s="1" t="s">
        <v>97</v>
      </c>
      <c r="H254" s="3">
        <v>390</v>
      </c>
      <c r="I254" t="s">
        <v>137</v>
      </c>
      <c r="J254" t="s">
        <v>71</v>
      </c>
      <c r="K254">
        <v>7.9</v>
      </c>
      <c r="L254" s="1" t="s">
        <v>676</v>
      </c>
      <c r="M254" s="2">
        <v>0</v>
      </c>
      <c r="N254">
        <v>8.9</v>
      </c>
      <c r="O254">
        <v>4</v>
      </c>
      <c r="P254">
        <v>9</v>
      </c>
      <c r="Q254">
        <v>14.2</v>
      </c>
      <c r="R254">
        <v>6</v>
      </c>
      <c r="S254" t="s">
        <v>27</v>
      </c>
    </row>
    <row r="255" spans="1:19" ht="58" x14ac:dyDescent="0.35">
      <c r="A255" t="s">
        <v>677</v>
      </c>
      <c r="B255">
        <v>23</v>
      </c>
      <c r="C255" t="s">
        <v>48</v>
      </c>
      <c r="D255" t="s">
        <v>21</v>
      </c>
      <c r="E255" t="s">
        <v>36</v>
      </c>
      <c r="F255" t="s">
        <v>30</v>
      </c>
      <c r="G255" s="1" t="s">
        <v>37</v>
      </c>
      <c r="H255" s="3">
        <v>312</v>
      </c>
      <c r="I255" t="s">
        <v>449</v>
      </c>
      <c r="J255" t="s">
        <v>39</v>
      </c>
      <c r="K255">
        <v>0.7</v>
      </c>
      <c r="L255" s="1" t="s">
        <v>678</v>
      </c>
      <c r="M255" s="2">
        <v>0</v>
      </c>
      <c r="N255">
        <v>5.0999999999999996</v>
      </c>
      <c r="O255">
        <v>4</v>
      </c>
      <c r="P255">
        <v>6</v>
      </c>
      <c r="Q255">
        <v>4.8</v>
      </c>
      <c r="R255">
        <v>4.0999999999999996</v>
      </c>
      <c r="S255" t="s">
        <v>40</v>
      </c>
    </row>
    <row r="256" spans="1:19" ht="58" x14ac:dyDescent="0.35">
      <c r="A256" t="s">
        <v>679</v>
      </c>
      <c r="B256">
        <v>17</v>
      </c>
      <c r="C256" t="s">
        <v>48</v>
      </c>
      <c r="D256" t="s">
        <v>35</v>
      </c>
      <c r="E256" t="s">
        <v>36</v>
      </c>
      <c r="F256" t="s">
        <v>62</v>
      </c>
      <c r="G256" s="1" t="s">
        <v>37</v>
      </c>
      <c r="H256" s="3">
        <v>595</v>
      </c>
      <c r="I256" t="s">
        <v>38</v>
      </c>
      <c r="J256" t="s">
        <v>39</v>
      </c>
      <c r="K256">
        <v>8</v>
      </c>
      <c r="L256" s="1" t="s">
        <v>680</v>
      </c>
      <c r="M256" s="2">
        <v>0</v>
      </c>
      <c r="N256">
        <v>7.4</v>
      </c>
      <c r="O256">
        <v>3</v>
      </c>
      <c r="P256">
        <v>7</v>
      </c>
      <c r="Q256">
        <v>15.8</v>
      </c>
      <c r="R256">
        <v>6.1</v>
      </c>
      <c r="S256" t="s">
        <v>27</v>
      </c>
    </row>
    <row r="257" spans="1:19" ht="72.5" x14ac:dyDescent="0.35">
      <c r="A257" t="s">
        <v>539</v>
      </c>
      <c r="B257">
        <v>28</v>
      </c>
      <c r="C257" t="s">
        <v>20</v>
      </c>
      <c r="D257" t="s">
        <v>42</v>
      </c>
      <c r="E257" t="s">
        <v>36</v>
      </c>
      <c r="F257" t="s">
        <v>23</v>
      </c>
      <c r="G257" s="1" t="s">
        <v>86</v>
      </c>
      <c r="H257" s="3">
        <v>82</v>
      </c>
      <c r="I257" t="s">
        <v>178</v>
      </c>
      <c r="J257" t="s">
        <v>39</v>
      </c>
      <c r="K257">
        <v>0.8</v>
      </c>
      <c r="L257" s="1" t="s">
        <v>540</v>
      </c>
      <c r="M257" s="2">
        <v>0</v>
      </c>
      <c r="N257">
        <v>2.1</v>
      </c>
      <c r="O257">
        <v>4</v>
      </c>
      <c r="P257">
        <v>6</v>
      </c>
      <c r="Q257">
        <v>1.2</v>
      </c>
      <c r="R257">
        <v>8.3000000000000007</v>
      </c>
      <c r="S257" t="s">
        <v>27</v>
      </c>
    </row>
    <row r="258" spans="1:19" ht="58" x14ac:dyDescent="0.35">
      <c r="A258" t="s">
        <v>328</v>
      </c>
      <c r="B258">
        <v>27</v>
      </c>
      <c r="C258" t="s">
        <v>195</v>
      </c>
      <c r="D258" t="s">
        <v>191</v>
      </c>
      <c r="E258" t="s">
        <v>36</v>
      </c>
      <c r="F258" t="s">
        <v>62</v>
      </c>
      <c r="G258" s="1" t="s">
        <v>329</v>
      </c>
      <c r="H258" s="3">
        <v>482</v>
      </c>
      <c r="I258" t="s">
        <v>137</v>
      </c>
      <c r="J258" t="s">
        <v>76</v>
      </c>
      <c r="K258">
        <v>6</v>
      </c>
      <c r="L258" s="1" t="s">
        <v>330</v>
      </c>
      <c r="M258" s="2">
        <v>0</v>
      </c>
      <c r="N258">
        <v>7.6</v>
      </c>
      <c r="O258">
        <v>5</v>
      </c>
      <c r="P258">
        <v>8</v>
      </c>
      <c r="Q258">
        <v>13.1</v>
      </c>
      <c r="R258">
        <v>6.8</v>
      </c>
      <c r="S258" t="s">
        <v>27</v>
      </c>
    </row>
    <row r="259" spans="1:19" ht="58" x14ac:dyDescent="0.35">
      <c r="A259" t="s">
        <v>681</v>
      </c>
      <c r="B259">
        <v>54</v>
      </c>
      <c r="C259" t="s">
        <v>48</v>
      </c>
      <c r="D259" t="s">
        <v>96</v>
      </c>
      <c r="E259" t="s">
        <v>22</v>
      </c>
      <c r="F259" t="s">
        <v>30</v>
      </c>
      <c r="G259" s="1" t="s">
        <v>659</v>
      </c>
      <c r="H259" s="3">
        <v>983</v>
      </c>
      <c r="I259" t="s">
        <v>68</v>
      </c>
      <c r="J259" t="s">
        <v>32</v>
      </c>
      <c r="K259">
        <v>5</v>
      </c>
      <c r="L259" s="1" t="s">
        <v>682</v>
      </c>
      <c r="M259" s="2">
        <v>20</v>
      </c>
      <c r="N259">
        <v>7</v>
      </c>
      <c r="O259">
        <v>3</v>
      </c>
      <c r="P259">
        <v>5</v>
      </c>
      <c r="R259">
        <v>9.9</v>
      </c>
      <c r="S259" t="s">
        <v>27</v>
      </c>
    </row>
    <row r="260" spans="1:19" ht="58" x14ac:dyDescent="0.35">
      <c r="A260" t="s">
        <v>683</v>
      </c>
      <c r="B260">
        <v>23</v>
      </c>
      <c r="C260" t="s">
        <v>20</v>
      </c>
      <c r="D260" t="s">
        <v>42</v>
      </c>
      <c r="E260" t="s">
        <v>36</v>
      </c>
      <c r="F260" t="s">
        <v>62</v>
      </c>
      <c r="G260" s="1" t="s">
        <v>50</v>
      </c>
      <c r="H260" s="3">
        <v>0</v>
      </c>
      <c r="I260" t="s">
        <v>38</v>
      </c>
      <c r="J260" t="s">
        <v>119</v>
      </c>
      <c r="L260" s="1" t="s">
        <v>684</v>
      </c>
      <c r="M260" s="2">
        <v>0</v>
      </c>
      <c r="N260">
        <v>3.8</v>
      </c>
      <c r="O260">
        <v>2</v>
      </c>
      <c r="P260">
        <v>6</v>
      </c>
      <c r="Q260">
        <v>0.1</v>
      </c>
      <c r="R260">
        <v>2.6</v>
      </c>
      <c r="S260" t="s">
        <v>27</v>
      </c>
    </row>
    <row r="261" spans="1:19" ht="43.5" x14ac:dyDescent="0.35">
      <c r="A261" t="s">
        <v>446</v>
      </c>
      <c r="B261">
        <v>26</v>
      </c>
      <c r="C261" t="s">
        <v>48</v>
      </c>
      <c r="D261" t="s">
        <v>74</v>
      </c>
      <c r="E261" t="s">
        <v>36</v>
      </c>
      <c r="G261" s="1" t="s">
        <v>79</v>
      </c>
      <c r="H261" s="3">
        <v>54</v>
      </c>
      <c r="I261" t="s">
        <v>38</v>
      </c>
      <c r="J261" t="s">
        <v>76</v>
      </c>
      <c r="K261">
        <v>2.7</v>
      </c>
      <c r="L261" s="1" t="s">
        <v>447</v>
      </c>
      <c r="M261" s="2">
        <v>20</v>
      </c>
      <c r="O261">
        <v>3</v>
      </c>
      <c r="P261">
        <v>5</v>
      </c>
      <c r="Q261">
        <v>5</v>
      </c>
      <c r="R261">
        <v>6.9</v>
      </c>
      <c r="S261" t="s">
        <v>46</v>
      </c>
    </row>
    <row r="262" spans="1:19" ht="58" x14ac:dyDescent="0.35">
      <c r="A262" t="s">
        <v>685</v>
      </c>
      <c r="B262">
        <v>16</v>
      </c>
      <c r="C262" t="s">
        <v>48</v>
      </c>
      <c r="D262" t="s">
        <v>61</v>
      </c>
      <c r="E262" t="s">
        <v>36</v>
      </c>
      <c r="F262" t="s">
        <v>49</v>
      </c>
      <c r="G262" s="1" t="s">
        <v>149</v>
      </c>
      <c r="H262" s="3">
        <v>76</v>
      </c>
      <c r="I262" t="s">
        <v>38</v>
      </c>
      <c r="J262" t="s">
        <v>55</v>
      </c>
      <c r="K262">
        <v>1.2</v>
      </c>
      <c r="L262" s="1" t="s">
        <v>686</v>
      </c>
      <c r="M262" s="2">
        <v>0</v>
      </c>
      <c r="N262">
        <v>3.4</v>
      </c>
      <c r="O262">
        <v>3</v>
      </c>
      <c r="P262">
        <v>5</v>
      </c>
      <c r="Q262">
        <v>3.7</v>
      </c>
      <c r="R262">
        <v>8.1999999999999993</v>
      </c>
      <c r="S262" t="s">
        <v>40</v>
      </c>
    </row>
    <row r="263" spans="1:19" ht="58" x14ac:dyDescent="0.35">
      <c r="A263" t="s">
        <v>687</v>
      </c>
      <c r="B263">
        <v>35</v>
      </c>
      <c r="C263" t="s">
        <v>48</v>
      </c>
      <c r="D263" t="s">
        <v>42</v>
      </c>
      <c r="E263" t="s">
        <v>22</v>
      </c>
      <c r="F263" t="s">
        <v>30</v>
      </c>
      <c r="G263" s="1" t="s">
        <v>688</v>
      </c>
      <c r="H263" s="3">
        <v>1991</v>
      </c>
      <c r="I263" t="s">
        <v>178</v>
      </c>
      <c r="J263" t="s">
        <v>39</v>
      </c>
      <c r="K263">
        <v>1.7</v>
      </c>
      <c r="L263" s="1" t="s">
        <v>689</v>
      </c>
      <c r="M263" s="2">
        <v>10</v>
      </c>
      <c r="N263">
        <v>4</v>
      </c>
      <c r="O263">
        <v>4</v>
      </c>
      <c r="P263">
        <v>6</v>
      </c>
      <c r="Q263">
        <v>6.2</v>
      </c>
      <c r="R263">
        <v>7.3</v>
      </c>
      <c r="S263" t="s">
        <v>27</v>
      </c>
    </row>
    <row r="264" spans="1:19" ht="58" x14ac:dyDescent="0.35">
      <c r="A264" t="s">
        <v>690</v>
      </c>
      <c r="B264">
        <v>22</v>
      </c>
      <c r="C264" t="s">
        <v>48</v>
      </c>
      <c r="D264" t="s">
        <v>100</v>
      </c>
      <c r="E264" t="s">
        <v>36</v>
      </c>
      <c r="F264" t="s">
        <v>30</v>
      </c>
      <c r="G264" s="1" t="s">
        <v>86</v>
      </c>
      <c r="H264" s="3">
        <v>0</v>
      </c>
      <c r="I264" t="s">
        <v>178</v>
      </c>
      <c r="J264" t="s">
        <v>39</v>
      </c>
      <c r="K264">
        <v>3.3</v>
      </c>
      <c r="L264" s="1" t="s">
        <v>691</v>
      </c>
      <c r="M264" s="2">
        <v>0</v>
      </c>
      <c r="N264">
        <v>6</v>
      </c>
      <c r="O264">
        <v>2</v>
      </c>
      <c r="P264">
        <v>6</v>
      </c>
      <c r="Q264">
        <v>6.4</v>
      </c>
      <c r="R264">
        <v>5.5</v>
      </c>
      <c r="S264" t="s">
        <v>27</v>
      </c>
    </row>
    <row r="265" spans="1:19" ht="72.5" x14ac:dyDescent="0.35">
      <c r="A265" t="s">
        <v>692</v>
      </c>
      <c r="B265">
        <v>19</v>
      </c>
      <c r="C265" t="s">
        <v>48</v>
      </c>
      <c r="D265" t="s">
        <v>29</v>
      </c>
      <c r="E265" t="s">
        <v>36</v>
      </c>
      <c r="F265" t="s">
        <v>49</v>
      </c>
      <c r="G265" s="1" t="s">
        <v>275</v>
      </c>
      <c r="H265" s="3">
        <v>0</v>
      </c>
      <c r="I265" t="s">
        <v>693</v>
      </c>
      <c r="J265" t="s">
        <v>76</v>
      </c>
      <c r="K265">
        <v>2.8</v>
      </c>
      <c r="L265" s="1" t="s">
        <v>694</v>
      </c>
      <c r="M265" s="2">
        <v>20</v>
      </c>
      <c r="N265">
        <v>5</v>
      </c>
      <c r="O265">
        <v>3</v>
      </c>
      <c r="P265">
        <v>6</v>
      </c>
      <c r="Q265">
        <v>6.9</v>
      </c>
      <c r="R265">
        <v>6.5</v>
      </c>
      <c r="S265" t="s">
        <v>46</v>
      </c>
    </row>
    <row r="266" spans="1:19" ht="58" x14ac:dyDescent="0.35">
      <c r="A266" t="s">
        <v>695</v>
      </c>
      <c r="B266">
        <v>24</v>
      </c>
      <c r="C266" t="s">
        <v>20</v>
      </c>
      <c r="D266" t="s">
        <v>82</v>
      </c>
      <c r="E266" t="s">
        <v>36</v>
      </c>
      <c r="F266" t="s">
        <v>49</v>
      </c>
      <c r="G266" s="1" t="s">
        <v>54</v>
      </c>
      <c r="H266" s="3">
        <v>435</v>
      </c>
      <c r="I266" t="s">
        <v>68</v>
      </c>
      <c r="J266" t="s">
        <v>119</v>
      </c>
      <c r="K266">
        <v>3.4</v>
      </c>
      <c r="L266" s="1" t="s">
        <v>696</v>
      </c>
      <c r="M266" s="2">
        <v>10</v>
      </c>
      <c r="N266">
        <v>5.5</v>
      </c>
      <c r="P266">
        <v>6</v>
      </c>
      <c r="Q266">
        <v>7.7</v>
      </c>
      <c r="R266">
        <v>4.5999999999999996</v>
      </c>
      <c r="S266" t="s">
        <v>27</v>
      </c>
    </row>
    <row r="267" spans="1:19" ht="58" x14ac:dyDescent="0.35">
      <c r="A267" t="s">
        <v>697</v>
      </c>
      <c r="B267">
        <v>21</v>
      </c>
      <c r="C267" t="s">
        <v>48</v>
      </c>
      <c r="D267" t="s">
        <v>35</v>
      </c>
      <c r="E267" t="s">
        <v>36</v>
      </c>
      <c r="F267" t="s">
        <v>49</v>
      </c>
      <c r="G267" s="1" t="s">
        <v>97</v>
      </c>
      <c r="H267" s="3">
        <v>678</v>
      </c>
      <c r="I267" t="s">
        <v>38</v>
      </c>
      <c r="J267" t="s">
        <v>71</v>
      </c>
      <c r="K267">
        <v>3</v>
      </c>
      <c r="L267" s="1" t="s">
        <v>698</v>
      </c>
      <c r="M267" s="2">
        <v>0</v>
      </c>
      <c r="N267">
        <v>4</v>
      </c>
      <c r="O267">
        <v>4</v>
      </c>
      <c r="P267">
        <v>6</v>
      </c>
      <c r="Q267">
        <v>7.1</v>
      </c>
      <c r="R267">
        <v>6.7</v>
      </c>
      <c r="S267" t="s">
        <v>40</v>
      </c>
    </row>
    <row r="268" spans="1:19" ht="58" x14ac:dyDescent="0.35">
      <c r="A268" t="s">
        <v>699</v>
      </c>
      <c r="B268">
        <v>24</v>
      </c>
      <c r="C268" t="s">
        <v>48</v>
      </c>
      <c r="D268" t="s">
        <v>21</v>
      </c>
      <c r="E268" t="s">
        <v>22</v>
      </c>
      <c r="F268" t="s">
        <v>62</v>
      </c>
      <c r="G268" s="1" t="s">
        <v>295</v>
      </c>
      <c r="H268" s="3">
        <v>4006</v>
      </c>
      <c r="I268" t="s">
        <v>449</v>
      </c>
      <c r="J268" t="s">
        <v>39</v>
      </c>
      <c r="K268">
        <v>2.9</v>
      </c>
      <c r="L268" s="1" t="s">
        <v>700</v>
      </c>
      <c r="M268" s="2">
        <v>25</v>
      </c>
      <c r="N268">
        <v>6.1</v>
      </c>
      <c r="O268">
        <v>3</v>
      </c>
      <c r="P268">
        <v>6</v>
      </c>
      <c r="Q268">
        <v>8.3000000000000007</v>
      </c>
      <c r="R268">
        <v>7.8</v>
      </c>
      <c r="S268" t="s">
        <v>27</v>
      </c>
    </row>
    <row r="269" spans="1:19" ht="72.5" x14ac:dyDescent="0.35">
      <c r="A269" t="s">
        <v>701</v>
      </c>
      <c r="B269">
        <v>16</v>
      </c>
      <c r="C269" t="s">
        <v>20</v>
      </c>
      <c r="D269" t="s">
        <v>29</v>
      </c>
      <c r="E269" t="s">
        <v>36</v>
      </c>
      <c r="F269" t="s">
        <v>787</v>
      </c>
      <c r="H269" s="3">
        <v>707</v>
      </c>
      <c r="I269" t="s">
        <v>38</v>
      </c>
      <c r="J269" t="s">
        <v>55</v>
      </c>
      <c r="K269">
        <v>1.1000000000000001</v>
      </c>
      <c r="L269" s="1" t="s">
        <v>702</v>
      </c>
      <c r="M269" s="2">
        <v>0</v>
      </c>
      <c r="N269">
        <v>5.0999999999999996</v>
      </c>
      <c r="O269">
        <v>3</v>
      </c>
      <c r="P269">
        <v>7</v>
      </c>
      <c r="Q269">
        <v>5.0999999999999996</v>
      </c>
      <c r="R269">
        <v>4.9000000000000004</v>
      </c>
      <c r="S269" t="s">
        <v>27</v>
      </c>
    </row>
    <row r="270" spans="1:19" ht="58" x14ac:dyDescent="0.35">
      <c r="A270" t="s">
        <v>703</v>
      </c>
      <c r="B270">
        <v>31</v>
      </c>
      <c r="C270" t="s">
        <v>48</v>
      </c>
      <c r="D270" t="s">
        <v>113</v>
      </c>
      <c r="E270" t="s">
        <v>36</v>
      </c>
      <c r="F270" t="s">
        <v>30</v>
      </c>
      <c r="G270" s="1" t="s">
        <v>340</v>
      </c>
      <c r="H270" s="3">
        <v>523</v>
      </c>
      <c r="J270" t="s">
        <v>76</v>
      </c>
      <c r="K270">
        <v>2</v>
      </c>
      <c r="L270" s="1" t="s">
        <v>704</v>
      </c>
      <c r="M270" s="2">
        <v>0</v>
      </c>
      <c r="N270">
        <v>5.6</v>
      </c>
      <c r="O270">
        <v>4</v>
      </c>
      <c r="P270">
        <v>6</v>
      </c>
      <c r="Q270">
        <v>3.8</v>
      </c>
      <c r="R270">
        <v>2.8</v>
      </c>
      <c r="S270" t="s">
        <v>27</v>
      </c>
    </row>
    <row r="271" spans="1:19" ht="72.5" x14ac:dyDescent="0.35">
      <c r="A271" t="s">
        <v>705</v>
      </c>
      <c r="B271">
        <v>20</v>
      </c>
      <c r="C271" t="s">
        <v>195</v>
      </c>
      <c r="D271" t="s">
        <v>61</v>
      </c>
      <c r="E271" t="s">
        <v>36</v>
      </c>
      <c r="G271" s="1" t="s">
        <v>97</v>
      </c>
      <c r="H271" s="3">
        <v>93</v>
      </c>
      <c r="I271" t="s">
        <v>38</v>
      </c>
      <c r="J271" t="s">
        <v>71</v>
      </c>
      <c r="K271">
        <v>2.2999999999999998</v>
      </c>
      <c r="L271" s="1" t="s">
        <v>706</v>
      </c>
      <c r="M271" s="2">
        <v>10</v>
      </c>
      <c r="N271">
        <v>4.2</v>
      </c>
      <c r="O271">
        <v>3</v>
      </c>
      <c r="P271">
        <v>4</v>
      </c>
      <c r="Q271">
        <v>3.4</v>
      </c>
      <c r="R271">
        <v>6.1</v>
      </c>
      <c r="S271" t="s">
        <v>40</v>
      </c>
    </row>
    <row r="272" spans="1:19" ht="72.5" x14ac:dyDescent="0.35">
      <c r="A272" t="s">
        <v>707</v>
      </c>
      <c r="B272">
        <v>29</v>
      </c>
      <c r="C272" t="s">
        <v>48</v>
      </c>
      <c r="D272" t="s">
        <v>191</v>
      </c>
      <c r="E272" t="s">
        <v>22</v>
      </c>
      <c r="F272" t="s">
        <v>30</v>
      </c>
      <c r="G272" s="1" t="s">
        <v>708</v>
      </c>
      <c r="H272" s="3">
        <v>5785</v>
      </c>
      <c r="I272" t="s">
        <v>68</v>
      </c>
      <c r="J272" t="s">
        <v>55</v>
      </c>
      <c r="K272">
        <v>1.7</v>
      </c>
      <c r="L272" s="1" t="s">
        <v>709</v>
      </c>
      <c r="M272" s="2">
        <v>0</v>
      </c>
      <c r="N272">
        <v>6</v>
      </c>
      <c r="P272">
        <v>7</v>
      </c>
      <c r="Q272">
        <v>3.7</v>
      </c>
      <c r="R272">
        <v>6.4</v>
      </c>
      <c r="S272" t="s">
        <v>27</v>
      </c>
    </row>
    <row r="273" spans="1:19" ht="87" x14ac:dyDescent="0.35">
      <c r="A273" t="s">
        <v>710</v>
      </c>
      <c r="B273">
        <v>35</v>
      </c>
      <c r="C273" t="s">
        <v>48</v>
      </c>
      <c r="D273" t="s">
        <v>21</v>
      </c>
      <c r="E273" t="s">
        <v>22</v>
      </c>
      <c r="F273" t="s">
        <v>23</v>
      </c>
      <c r="G273" s="1" t="s">
        <v>711</v>
      </c>
      <c r="H273" s="3">
        <v>3114</v>
      </c>
      <c r="I273" t="s">
        <v>51</v>
      </c>
      <c r="J273" t="s">
        <v>76</v>
      </c>
      <c r="K273">
        <v>5.7</v>
      </c>
      <c r="L273" s="1" t="s">
        <v>712</v>
      </c>
      <c r="M273" s="2">
        <v>0</v>
      </c>
      <c r="N273">
        <v>5.9</v>
      </c>
      <c r="O273">
        <v>3</v>
      </c>
      <c r="P273">
        <v>7</v>
      </c>
      <c r="Q273">
        <v>13.4</v>
      </c>
      <c r="R273">
        <v>9</v>
      </c>
      <c r="S273" t="s">
        <v>27</v>
      </c>
    </row>
    <row r="274" spans="1:19" ht="72.5" x14ac:dyDescent="0.35">
      <c r="A274" t="s">
        <v>713</v>
      </c>
      <c r="B274">
        <v>27</v>
      </c>
      <c r="C274" t="s">
        <v>48</v>
      </c>
      <c r="D274" t="s">
        <v>21</v>
      </c>
      <c r="E274" t="s">
        <v>22</v>
      </c>
      <c r="F274" t="s">
        <v>23</v>
      </c>
      <c r="G274" s="1" t="s">
        <v>567</v>
      </c>
      <c r="H274" s="3">
        <v>4186</v>
      </c>
      <c r="I274" t="s">
        <v>38</v>
      </c>
      <c r="J274" t="s">
        <v>71</v>
      </c>
      <c r="K274">
        <v>0.8</v>
      </c>
      <c r="L274" s="1" t="s">
        <v>714</v>
      </c>
      <c r="M274" s="2">
        <v>0</v>
      </c>
      <c r="N274">
        <v>3.9</v>
      </c>
      <c r="O274">
        <v>4</v>
      </c>
      <c r="P274">
        <v>6</v>
      </c>
      <c r="Q274">
        <v>4.3</v>
      </c>
      <c r="R274">
        <v>9</v>
      </c>
      <c r="S274" t="s">
        <v>46</v>
      </c>
    </row>
    <row r="275" spans="1:19" ht="43.5" x14ac:dyDescent="0.35">
      <c r="A275" t="s">
        <v>715</v>
      </c>
      <c r="B275">
        <v>20</v>
      </c>
      <c r="C275" t="s">
        <v>48</v>
      </c>
      <c r="D275" t="s">
        <v>96</v>
      </c>
      <c r="E275" t="s">
        <v>36</v>
      </c>
      <c r="F275" t="s">
        <v>30</v>
      </c>
      <c r="G275" s="1" t="s">
        <v>97</v>
      </c>
      <c r="H275" s="3">
        <v>0</v>
      </c>
      <c r="I275" t="s">
        <v>38</v>
      </c>
      <c r="J275" t="s">
        <v>71</v>
      </c>
      <c r="K275">
        <v>1.6</v>
      </c>
      <c r="L275" s="1" t="s">
        <v>716</v>
      </c>
      <c r="M275" s="2">
        <v>0</v>
      </c>
      <c r="N275">
        <v>5.2</v>
      </c>
      <c r="O275">
        <v>2</v>
      </c>
      <c r="P275">
        <v>5</v>
      </c>
      <c r="Q275">
        <v>5.3</v>
      </c>
      <c r="R275">
        <v>8.4</v>
      </c>
      <c r="S275" t="s">
        <v>27</v>
      </c>
    </row>
    <row r="276" spans="1:19" ht="43.5" x14ac:dyDescent="0.35">
      <c r="A276" t="s">
        <v>717</v>
      </c>
      <c r="B276">
        <v>49</v>
      </c>
      <c r="C276" t="s">
        <v>48</v>
      </c>
      <c r="D276" t="s">
        <v>103</v>
      </c>
      <c r="E276" t="s">
        <v>22</v>
      </c>
      <c r="F276" t="s">
        <v>30</v>
      </c>
      <c r="G276" s="1" t="s">
        <v>162</v>
      </c>
      <c r="H276" s="3">
        <v>243</v>
      </c>
      <c r="I276" t="s">
        <v>38</v>
      </c>
      <c r="J276" t="s">
        <v>71</v>
      </c>
      <c r="K276">
        <v>3.2</v>
      </c>
      <c r="L276" s="1" t="s">
        <v>718</v>
      </c>
      <c r="M276" s="2">
        <v>0</v>
      </c>
      <c r="O276">
        <v>3</v>
      </c>
      <c r="P276">
        <v>6</v>
      </c>
      <c r="Q276">
        <v>10</v>
      </c>
      <c r="R276">
        <v>7.2</v>
      </c>
      <c r="S276" t="s">
        <v>46</v>
      </c>
    </row>
    <row r="277" spans="1:19" ht="29" x14ac:dyDescent="0.35">
      <c r="A277" t="s">
        <v>719</v>
      </c>
      <c r="B277">
        <v>18</v>
      </c>
      <c r="C277" t="s">
        <v>48</v>
      </c>
      <c r="D277" t="s">
        <v>29</v>
      </c>
      <c r="E277" t="s">
        <v>36</v>
      </c>
      <c r="F277" t="s">
        <v>30</v>
      </c>
      <c r="G277" s="1" t="s">
        <v>50</v>
      </c>
      <c r="H277" s="3">
        <v>540</v>
      </c>
      <c r="I277" t="s">
        <v>38</v>
      </c>
      <c r="J277" t="s">
        <v>119</v>
      </c>
      <c r="K277">
        <v>4.3</v>
      </c>
      <c r="L277" s="1" t="s">
        <v>720</v>
      </c>
      <c r="M277" s="2">
        <v>20</v>
      </c>
      <c r="N277">
        <v>5.8</v>
      </c>
      <c r="O277">
        <v>2</v>
      </c>
      <c r="P277">
        <v>6</v>
      </c>
      <c r="Q277">
        <v>8.1</v>
      </c>
      <c r="R277">
        <v>5.2</v>
      </c>
      <c r="S277" t="s">
        <v>40</v>
      </c>
    </row>
    <row r="278" spans="1:19" ht="58" x14ac:dyDescent="0.35">
      <c r="A278" t="s">
        <v>721</v>
      </c>
      <c r="B278">
        <v>32</v>
      </c>
      <c r="C278" t="s">
        <v>20</v>
      </c>
      <c r="D278" t="s">
        <v>42</v>
      </c>
      <c r="E278" t="s">
        <v>36</v>
      </c>
      <c r="F278" t="s">
        <v>62</v>
      </c>
      <c r="G278" s="1" t="s">
        <v>97</v>
      </c>
      <c r="H278" s="3">
        <v>152</v>
      </c>
      <c r="I278" t="s">
        <v>449</v>
      </c>
      <c r="J278" t="s">
        <v>71</v>
      </c>
      <c r="K278">
        <v>0.5</v>
      </c>
      <c r="L278" s="1" t="s">
        <v>722</v>
      </c>
      <c r="M278" s="2">
        <v>10</v>
      </c>
      <c r="N278">
        <v>2.2999999999999998</v>
      </c>
      <c r="O278">
        <v>5</v>
      </c>
      <c r="P278">
        <v>7</v>
      </c>
      <c r="Q278">
        <v>3.1</v>
      </c>
      <c r="R278">
        <v>5.9</v>
      </c>
      <c r="S278" t="s">
        <v>27</v>
      </c>
    </row>
    <row r="279" spans="1:19" ht="72.5" x14ac:dyDescent="0.35">
      <c r="A279" t="s">
        <v>723</v>
      </c>
      <c r="B279">
        <v>38</v>
      </c>
      <c r="C279" t="s">
        <v>195</v>
      </c>
      <c r="D279" t="s">
        <v>61</v>
      </c>
      <c r="E279" t="s">
        <v>22</v>
      </c>
      <c r="F279" t="s">
        <v>787</v>
      </c>
      <c r="G279" s="1" t="s">
        <v>724</v>
      </c>
      <c r="H279" s="3">
        <v>1148</v>
      </c>
      <c r="I279" t="s">
        <v>116</v>
      </c>
      <c r="J279" t="s">
        <v>71</v>
      </c>
      <c r="K279">
        <v>4.3</v>
      </c>
      <c r="L279" s="1" t="s">
        <v>725</v>
      </c>
      <c r="M279" s="2">
        <v>50</v>
      </c>
      <c r="N279">
        <v>7.2</v>
      </c>
      <c r="O279">
        <v>5</v>
      </c>
      <c r="P279">
        <v>7</v>
      </c>
      <c r="Q279">
        <v>4.8</v>
      </c>
      <c r="R279">
        <v>5.9</v>
      </c>
      <c r="S279" t="s">
        <v>27</v>
      </c>
    </row>
    <row r="280" spans="1:19" ht="58" x14ac:dyDescent="0.35">
      <c r="A280" t="s">
        <v>726</v>
      </c>
      <c r="B280">
        <v>22</v>
      </c>
      <c r="C280" t="s">
        <v>20</v>
      </c>
      <c r="D280" t="s">
        <v>96</v>
      </c>
      <c r="E280" t="s">
        <v>36</v>
      </c>
      <c r="F280" t="s">
        <v>49</v>
      </c>
      <c r="G280" s="1" t="s">
        <v>79</v>
      </c>
      <c r="H280" s="3">
        <v>0</v>
      </c>
      <c r="I280" t="s">
        <v>44</v>
      </c>
      <c r="J280" t="s">
        <v>119</v>
      </c>
      <c r="K280">
        <v>2.4</v>
      </c>
      <c r="L280" s="1" t="s">
        <v>727</v>
      </c>
      <c r="M280" s="2">
        <v>20</v>
      </c>
      <c r="N280">
        <v>3.4</v>
      </c>
      <c r="O280">
        <v>4</v>
      </c>
      <c r="P280">
        <v>6</v>
      </c>
      <c r="Q280">
        <v>4.8</v>
      </c>
      <c r="R280">
        <v>6.2</v>
      </c>
      <c r="S280" t="s">
        <v>40</v>
      </c>
    </row>
    <row r="281" spans="1:19" x14ac:dyDescent="0.35">
      <c r="A281" t="s">
        <v>728</v>
      </c>
      <c r="B281">
        <v>39</v>
      </c>
      <c r="C281" t="s">
        <v>195</v>
      </c>
      <c r="D281" t="s">
        <v>42</v>
      </c>
      <c r="E281" t="s">
        <v>22</v>
      </c>
      <c r="F281" t="s">
        <v>104</v>
      </c>
      <c r="G281" s="1" t="s">
        <v>729</v>
      </c>
      <c r="H281" s="3">
        <v>894</v>
      </c>
      <c r="I281" t="s">
        <v>38</v>
      </c>
      <c r="J281" t="s">
        <v>55</v>
      </c>
      <c r="K281">
        <v>2.8</v>
      </c>
      <c r="M281" s="2">
        <v>20</v>
      </c>
      <c r="N281">
        <v>7.9</v>
      </c>
      <c r="O281">
        <v>4</v>
      </c>
      <c r="P281">
        <v>9</v>
      </c>
      <c r="Q281">
        <v>3.9</v>
      </c>
      <c r="R281">
        <v>9.1999999999999993</v>
      </c>
      <c r="S281" t="s">
        <v>27</v>
      </c>
    </row>
    <row r="282" spans="1:19" ht="58" x14ac:dyDescent="0.35">
      <c r="A282" t="s">
        <v>730</v>
      </c>
      <c r="B282">
        <v>27</v>
      </c>
      <c r="C282" t="s">
        <v>20</v>
      </c>
      <c r="D282" t="s">
        <v>35</v>
      </c>
      <c r="E282" t="s">
        <v>36</v>
      </c>
      <c r="F282" t="s">
        <v>49</v>
      </c>
      <c r="G282" s="1" t="s">
        <v>67</v>
      </c>
      <c r="H282" s="3">
        <v>675</v>
      </c>
      <c r="I282" t="s">
        <v>68</v>
      </c>
      <c r="J282" t="s">
        <v>64</v>
      </c>
      <c r="K282">
        <v>1.2</v>
      </c>
      <c r="L282" s="1" t="s">
        <v>731</v>
      </c>
      <c r="M282" s="2">
        <v>20</v>
      </c>
      <c r="N282">
        <v>4.0999999999999996</v>
      </c>
      <c r="O282">
        <v>3</v>
      </c>
      <c r="P282">
        <v>6</v>
      </c>
      <c r="Q282">
        <v>1.1000000000000001</v>
      </c>
      <c r="R282">
        <v>7.6</v>
      </c>
      <c r="S282" t="s">
        <v>27</v>
      </c>
    </row>
    <row r="283" spans="1:19" ht="43.5" x14ac:dyDescent="0.35">
      <c r="A283" t="s">
        <v>732</v>
      </c>
      <c r="B283">
        <v>31</v>
      </c>
      <c r="C283" t="s">
        <v>20</v>
      </c>
      <c r="D283" t="s">
        <v>82</v>
      </c>
      <c r="E283" t="s">
        <v>36</v>
      </c>
      <c r="F283" t="s">
        <v>49</v>
      </c>
      <c r="H283" s="3">
        <v>204</v>
      </c>
      <c r="I283" t="s">
        <v>44</v>
      </c>
      <c r="J283" t="s">
        <v>71</v>
      </c>
      <c r="K283">
        <v>0.6</v>
      </c>
      <c r="L283" s="1" t="s">
        <v>733</v>
      </c>
      <c r="M283" s="2">
        <v>0</v>
      </c>
      <c r="N283">
        <v>3.3</v>
      </c>
      <c r="O283">
        <v>2</v>
      </c>
      <c r="P283">
        <v>4</v>
      </c>
      <c r="Q283">
        <v>3.6</v>
      </c>
      <c r="R283">
        <v>5.6</v>
      </c>
      <c r="S283" t="s">
        <v>40</v>
      </c>
    </row>
    <row r="284" spans="1:19" ht="58" x14ac:dyDescent="0.35">
      <c r="A284" t="s">
        <v>734</v>
      </c>
      <c r="B284">
        <v>32</v>
      </c>
      <c r="C284" t="s">
        <v>48</v>
      </c>
      <c r="D284" t="s">
        <v>35</v>
      </c>
      <c r="E284" t="s">
        <v>36</v>
      </c>
      <c r="F284" t="s">
        <v>62</v>
      </c>
      <c r="G284" s="1" t="s">
        <v>37</v>
      </c>
      <c r="H284" s="3">
        <v>0</v>
      </c>
      <c r="I284" t="s">
        <v>472</v>
      </c>
      <c r="J284" t="s">
        <v>39</v>
      </c>
      <c r="K284">
        <v>3.9</v>
      </c>
      <c r="L284" s="1" t="s">
        <v>735</v>
      </c>
      <c r="M284" s="2">
        <v>0</v>
      </c>
      <c r="N284">
        <v>5.7</v>
      </c>
      <c r="O284">
        <v>3</v>
      </c>
      <c r="P284">
        <v>6</v>
      </c>
      <c r="Q284">
        <v>7.3</v>
      </c>
      <c r="R284">
        <v>4.8</v>
      </c>
      <c r="S284" t="s">
        <v>46</v>
      </c>
    </row>
    <row r="285" spans="1:19" ht="43.5" x14ac:dyDescent="0.35">
      <c r="A285" t="s">
        <v>736</v>
      </c>
      <c r="C285" t="s">
        <v>20</v>
      </c>
      <c r="D285" t="s">
        <v>29</v>
      </c>
      <c r="E285" t="s">
        <v>22</v>
      </c>
      <c r="F285" t="s">
        <v>30</v>
      </c>
      <c r="H285" s="3">
        <v>8255</v>
      </c>
      <c r="I285" t="s">
        <v>449</v>
      </c>
      <c r="K285">
        <v>1.8</v>
      </c>
      <c r="L285" s="1" t="s">
        <v>737</v>
      </c>
      <c r="M285" s="2">
        <v>0</v>
      </c>
      <c r="N285">
        <v>1.8</v>
      </c>
      <c r="O285">
        <v>3</v>
      </c>
      <c r="P285">
        <v>4</v>
      </c>
      <c r="R285">
        <v>12.2</v>
      </c>
      <c r="S285" t="s">
        <v>40</v>
      </c>
    </row>
    <row r="286" spans="1:19" ht="87" x14ac:dyDescent="0.35">
      <c r="A286" t="s">
        <v>738</v>
      </c>
      <c r="B286">
        <v>43</v>
      </c>
      <c r="C286" t="s">
        <v>20</v>
      </c>
      <c r="D286" t="s">
        <v>103</v>
      </c>
      <c r="E286" t="s">
        <v>22</v>
      </c>
      <c r="F286" t="s">
        <v>104</v>
      </c>
      <c r="G286" s="1" t="s">
        <v>739</v>
      </c>
      <c r="I286" t="s">
        <v>38</v>
      </c>
      <c r="J286" t="s">
        <v>64</v>
      </c>
      <c r="K286">
        <v>1.2</v>
      </c>
      <c r="L286" s="1" t="s">
        <v>740</v>
      </c>
      <c r="M286" s="2">
        <v>0</v>
      </c>
      <c r="N286">
        <v>4.7</v>
      </c>
      <c r="O286">
        <v>3</v>
      </c>
      <c r="Q286">
        <v>1</v>
      </c>
      <c r="R286">
        <v>10.9</v>
      </c>
      <c r="S286" t="s">
        <v>40</v>
      </c>
    </row>
    <row r="287" spans="1:19" ht="58" x14ac:dyDescent="0.35">
      <c r="A287" t="s">
        <v>741</v>
      </c>
      <c r="B287">
        <v>48</v>
      </c>
      <c r="C287" t="s">
        <v>48</v>
      </c>
      <c r="D287" t="s">
        <v>42</v>
      </c>
      <c r="E287" t="s">
        <v>22</v>
      </c>
      <c r="F287" t="s">
        <v>104</v>
      </c>
      <c r="G287" s="1" t="s">
        <v>742</v>
      </c>
      <c r="H287" s="3">
        <v>544</v>
      </c>
      <c r="I287" t="s">
        <v>178</v>
      </c>
      <c r="J287" t="s">
        <v>39</v>
      </c>
      <c r="K287">
        <v>5.5</v>
      </c>
      <c r="L287" s="1" t="s">
        <v>743</v>
      </c>
      <c r="M287" s="2">
        <v>0</v>
      </c>
      <c r="N287">
        <v>7.8</v>
      </c>
      <c r="O287">
        <v>4</v>
      </c>
      <c r="P287">
        <v>7</v>
      </c>
      <c r="Q287">
        <v>11.5</v>
      </c>
      <c r="R287">
        <v>8.4</v>
      </c>
      <c r="S287" t="s">
        <v>27</v>
      </c>
    </row>
    <row r="288" spans="1:19" ht="58" x14ac:dyDescent="0.35">
      <c r="A288" t="s">
        <v>744</v>
      </c>
      <c r="B288">
        <v>31</v>
      </c>
      <c r="C288" t="s">
        <v>20</v>
      </c>
      <c r="D288" t="s">
        <v>74</v>
      </c>
      <c r="E288" t="s">
        <v>22</v>
      </c>
      <c r="F288" t="s">
        <v>104</v>
      </c>
      <c r="G288" s="1" t="s">
        <v>295</v>
      </c>
      <c r="H288" s="3">
        <v>448</v>
      </c>
      <c r="I288" t="s">
        <v>38</v>
      </c>
      <c r="J288" t="s">
        <v>39</v>
      </c>
      <c r="K288">
        <v>0.7</v>
      </c>
      <c r="L288" s="1" t="s">
        <v>745</v>
      </c>
      <c r="M288" s="2">
        <v>0</v>
      </c>
      <c r="N288">
        <v>4.3</v>
      </c>
      <c r="O288">
        <v>3</v>
      </c>
      <c r="P288">
        <v>4</v>
      </c>
      <c r="Q288">
        <v>1.7</v>
      </c>
      <c r="R288">
        <v>9.5</v>
      </c>
      <c r="S288" t="s">
        <v>40</v>
      </c>
    </row>
    <row r="289" spans="1:19" ht="58" x14ac:dyDescent="0.35">
      <c r="A289" t="s">
        <v>746</v>
      </c>
      <c r="B289">
        <v>36</v>
      </c>
      <c r="C289" t="s">
        <v>20</v>
      </c>
      <c r="D289" t="s">
        <v>29</v>
      </c>
      <c r="E289" t="s">
        <v>22</v>
      </c>
      <c r="F289" t="s">
        <v>104</v>
      </c>
      <c r="G289" s="1" t="s">
        <v>83</v>
      </c>
      <c r="H289" s="3">
        <v>6766</v>
      </c>
      <c r="I289" t="s">
        <v>38</v>
      </c>
      <c r="J289" t="s">
        <v>39</v>
      </c>
      <c r="K289">
        <v>2.8</v>
      </c>
      <c r="L289" s="1" t="s">
        <v>747</v>
      </c>
      <c r="M289" s="2">
        <v>0</v>
      </c>
      <c r="N289">
        <v>5.4</v>
      </c>
      <c r="O289">
        <v>4</v>
      </c>
      <c r="P289">
        <v>7</v>
      </c>
      <c r="Q289">
        <v>6.2</v>
      </c>
      <c r="R289">
        <v>8.1999999999999993</v>
      </c>
      <c r="S289" t="s">
        <v>27</v>
      </c>
    </row>
  </sheetData>
  <conditionalFormatting sqref="A1:A1048576">
    <cfRule type="duplicateValues" dxfId="12" priority="1"/>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71BB8-2576-48FA-9DFA-0966A5D62A99}">
  <dimension ref="A1:R263"/>
  <sheetViews>
    <sheetView topLeftCell="F67" zoomScale="46" workbookViewId="0">
      <selection activeCell="H9" sqref="H9"/>
    </sheetView>
  </sheetViews>
  <sheetFormatPr defaultRowHeight="14.5" x14ac:dyDescent="0.35"/>
  <cols>
    <col min="1" max="1" width="14.7265625" bestFit="1" customWidth="1"/>
    <col min="2" max="2" width="20.26953125" bestFit="1" customWidth="1"/>
    <col min="3" max="3" width="36.08984375" bestFit="1" customWidth="1"/>
    <col min="4" max="4" width="17.453125" bestFit="1" customWidth="1"/>
    <col min="5" max="5" width="39.6328125" bestFit="1" customWidth="1"/>
    <col min="6" max="6" width="36.08984375" bestFit="1" customWidth="1"/>
    <col min="7" max="7" width="24.36328125" bestFit="1" customWidth="1"/>
    <col min="8" max="8" width="20.26953125" bestFit="1" customWidth="1"/>
    <col min="9" max="9" width="31.54296875" bestFit="1" customWidth="1"/>
    <col min="10" max="10" width="31.7265625" bestFit="1" customWidth="1"/>
    <col min="11" max="11" width="20.26953125" bestFit="1" customWidth="1"/>
    <col min="12" max="12" width="31.54296875" bestFit="1" customWidth="1"/>
    <col min="13" max="13" width="17.453125" bestFit="1" customWidth="1"/>
    <col min="14" max="14" width="20.26953125" bestFit="1" customWidth="1"/>
    <col min="15" max="15" width="44.1796875" bestFit="1" customWidth="1"/>
    <col min="16" max="16" width="49.08984375" bestFit="1" customWidth="1"/>
    <col min="17" max="17" width="28.1796875" bestFit="1" customWidth="1"/>
    <col min="18" max="18" width="20.26953125" bestFit="1" customWidth="1"/>
  </cols>
  <sheetData>
    <row r="1" spans="1:18" ht="23.5" x14ac:dyDescent="0.55000000000000004">
      <c r="B1" s="16" t="s">
        <v>761</v>
      </c>
    </row>
    <row r="3" spans="1:18" x14ac:dyDescent="0.35">
      <c r="A3" s="4" t="s">
        <v>2</v>
      </c>
      <c r="B3" t="s">
        <v>755</v>
      </c>
      <c r="D3" s="4" t="s">
        <v>756</v>
      </c>
      <c r="E3" t="s">
        <v>755</v>
      </c>
      <c r="G3" s="4" t="s">
        <v>757</v>
      </c>
      <c r="H3" t="s">
        <v>755</v>
      </c>
      <c r="J3" s="4" t="s">
        <v>6</v>
      </c>
      <c r="K3" t="s">
        <v>755</v>
      </c>
      <c r="M3" s="4" t="s">
        <v>758</v>
      </c>
      <c r="N3" t="s">
        <v>755</v>
      </c>
      <c r="Q3" s="4" t="s">
        <v>759</v>
      </c>
      <c r="R3" t="s">
        <v>755</v>
      </c>
    </row>
    <row r="4" spans="1:18" x14ac:dyDescent="0.35">
      <c r="A4" s="5"/>
      <c r="B4" s="11">
        <v>9</v>
      </c>
      <c r="D4" s="5" t="s">
        <v>82</v>
      </c>
      <c r="E4" s="11">
        <v>20</v>
      </c>
      <c r="G4" s="5" t="s">
        <v>30</v>
      </c>
      <c r="H4" s="11">
        <v>74</v>
      </c>
      <c r="J4" s="5" t="s">
        <v>50</v>
      </c>
      <c r="K4" s="11">
        <v>11</v>
      </c>
      <c r="M4" s="5" t="s">
        <v>22</v>
      </c>
      <c r="N4" s="11">
        <v>137</v>
      </c>
      <c r="Q4" s="5">
        <v>17</v>
      </c>
      <c r="R4" s="11">
        <v>12</v>
      </c>
    </row>
    <row r="5" spans="1:18" x14ac:dyDescent="0.35">
      <c r="A5" s="5" t="s">
        <v>48</v>
      </c>
      <c r="B5" s="11">
        <v>119</v>
      </c>
      <c r="D5" s="5" t="s">
        <v>42</v>
      </c>
      <c r="E5" s="11">
        <v>26</v>
      </c>
      <c r="G5" s="5" t="s">
        <v>104</v>
      </c>
      <c r="H5" s="11">
        <v>25</v>
      </c>
      <c r="J5" s="5" t="s">
        <v>132</v>
      </c>
      <c r="K5" s="11">
        <v>6</v>
      </c>
      <c r="M5" s="5" t="s">
        <v>36</v>
      </c>
      <c r="N5" s="11">
        <v>151</v>
      </c>
      <c r="Q5" s="5">
        <v>20</v>
      </c>
      <c r="R5" s="11">
        <v>14</v>
      </c>
    </row>
    <row r="6" spans="1:18" x14ac:dyDescent="0.35">
      <c r="A6" s="5" t="s">
        <v>20</v>
      </c>
      <c r="B6" s="11">
        <v>145</v>
      </c>
      <c r="D6" s="5" t="s">
        <v>35</v>
      </c>
      <c r="E6" s="11">
        <v>31</v>
      </c>
      <c r="G6" s="5" t="s">
        <v>62</v>
      </c>
      <c r="H6" s="11">
        <v>46</v>
      </c>
      <c r="J6" s="5" t="s">
        <v>37</v>
      </c>
      <c r="K6" s="11">
        <v>18</v>
      </c>
      <c r="M6" s="5" t="s">
        <v>751</v>
      </c>
      <c r="N6" s="11">
        <v>288</v>
      </c>
      <c r="Q6" s="5">
        <v>21</v>
      </c>
      <c r="R6" s="11">
        <v>11</v>
      </c>
    </row>
    <row r="7" spans="1:18" x14ac:dyDescent="0.35">
      <c r="A7" s="5" t="s">
        <v>751</v>
      </c>
      <c r="B7" s="11">
        <v>273</v>
      </c>
      <c r="D7" s="5" t="s">
        <v>191</v>
      </c>
      <c r="E7" s="11">
        <v>10</v>
      </c>
      <c r="G7" s="5" t="s">
        <v>23</v>
      </c>
      <c r="H7" s="11">
        <v>52</v>
      </c>
      <c r="J7" s="5" t="s">
        <v>162</v>
      </c>
      <c r="K7" s="11">
        <v>8</v>
      </c>
      <c r="Q7" s="5">
        <v>22</v>
      </c>
      <c r="R7" s="11">
        <v>23</v>
      </c>
    </row>
    <row r="8" spans="1:18" x14ac:dyDescent="0.35">
      <c r="D8" s="5" t="s">
        <v>113</v>
      </c>
      <c r="E8" s="11">
        <v>13</v>
      </c>
      <c r="G8" s="5" t="s">
        <v>49</v>
      </c>
      <c r="H8" s="11">
        <v>63</v>
      </c>
      <c r="J8" s="5" t="s">
        <v>340</v>
      </c>
      <c r="K8" s="11">
        <v>10</v>
      </c>
      <c r="Q8" s="5">
        <v>23</v>
      </c>
      <c r="R8" s="11">
        <v>28</v>
      </c>
    </row>
    <row r="9" spans="1:18" x14ac:dyDescent="0.35">
      <c r="D9" s="5" t="s">
        <v>96</v>
      </c>
      <c r="E9" s="11">
        <v>43</v>
      </c>
      <c r="G9" s="5" t="s">
        <v>754</v>
      </c>
      <c r="H9" s="11">
        <v>12</v>
      </c>
      <c r="J9" s="5" t="s">
        <v>97</v>
      </c>
      <c r="K9" s="11">
        <v>24</v>
      </c>
      <c r="Q9" s="5">
        <v>24</v>
      </c>
      <c r="R9" s="11">
        <v>10</v>
      </c>
    </row>
    <row r="10" spans="1:18" x14ac:dyDescent="0.35">
      <c r="D10" s="5" t="s">
        <v>100</v>
      </c>
      <c r="E10" s="11">
        <v>6</v>
      </c>
      <c r="G10" s="5" t="s">
        <v>787</v>
      </c>
      <c r="H10" s="11">
        <v>16</v>
      </c>
      <c r="J10" s="5" t="s">
        <v>79</v>
      </c>
      <c r="K10" s="11">
        <v>10</v>
      </c>
      <c r="Q10" s="5">
        <v>31</v>
      </c>
      <c r="R10" s="11">
        <v>11</v>
      </c>
    </row>
    <row r="11" spans="1:18" x14ac:dyDescent="0.35">
      <c r="D11" s="5" t="s">
        <v>103</v>
      </c>
      <c r="E11" s="11">
        <v>17</v>
      </c>
      <c r="G11" s="5" t="s">
        <v>751</v>
      </c>
      <c r="H11" s="11">
        <v>288</v>
      </c>
      <c r="J11" s="5" t="s">
        <v>83</v>
      </c>
      <c r="K11" s="11">
        <v>7</v>
      </c>
      <c r="Q11" s="5">
        <v>32</v>
      </c>
      <c r="R11" s="11">
        <v>12</v>
      </c>
    </row>
    <row r="12" spans="1:18" x14ac:dyDescent="0.35">
      <c r="D12" s="5" t="s">
        <v>74</v>
      </c>
      <c r="E12" s="11">
        <v>28</v>
      </c>
      <c r="J12" s="5" t="s">
        <v>86</v>
      </c>
      <c r="K12" s="11">
        <v>7</v>
      </c>
      <c r="Q12" s="5" t="s">
        <v>754</v>
      </c>
      <c r="R12" s="11">
        <v>23</v>
      </c>
    </row>
    <row r="13" spans="1:18" x14ac:dyDescent="0.35">
      <c r="D13" s="5" t="s">
        <v>61</v>
      </c>
      <c r="E13" s="11">
        <v>24</v>
      </c>
      <c r="J13" s="5" t="s">
        <v>754</v>
      </c>
      <c r="K13" s="11">
        <v>14</v>
      </c>
      <c r="Q13" s="5" t="s">
        <v>751</v>
      </c>
      <c r="R13" s="11">
        <v>144</v>
      </c>
    </row>
    <row r="14" spans="1:18" x14ac:dyDescent="0.35">
      <c r="D14" s="5" t="s">
        <v>21</v>
      </c>
      <c r="E14" s="11">
        <v>26</v>
      </c>
      <c r="J14" s="5" t="s">
        <v>751</v>
      </c>
      <c r="K14" s="11">
        <v>115</v>
      </c>
    </row>
    <row r="15" spans="1:18" x14ac:dyDescent="0.35">
      <c r="D15" s="5" t="s">
        <v>29</v>
      </c>
      <c r="E15" s="11">
        <v>34</v>
      </c>
    </row>
    <row r="16" spans="1:18" x14ac:dyDescent="0.35">
      <c r="D16" s="5"/>
      <c r="E16" s="11">
        <v>10</v>
      </c>
    </row>
    <row r="17" spans="4:5" x14ac:dyDescent="0.35">
      <c r="D17" s="5" t="s">
        <v>751</v>
      </c>
      <c r="E17" s="11">
        <v>288</v>
      </c>
    </row>
    <row r="40" spans="1:14" ht="23.5" x14ac:dyDescent="0.55000000000000004">
      <c r="C40" s="17" t="s">
        <v>762</v>
      </c>
    </row>
    <row r="42" spans="1:14" x14ac:dyDescent="0.35">
      <c r="A42" s="4" t="s">
        <v>765</v>
      </c>
      <c r="B42" t="s">
        <v>755</v>
      </c>
      <c r="D42" s="4" t="s">
        <v>758</v>
      </c>
      <c r="E42" t="s">
        <v>763</v>
      </c>
      <c r="G42" s="4" t="s">
        <v>6</v>
      </c>
      <c r="H42" t="s">
        <v>763</v>
      </c>
      <c r="J42" s="4" t="s">
        <v>756</v>
      </c>
      <c r="K42" t="s">
        <v>785</v>
      </c>
      <c r="M42" s="4" t="s">
        <v>766</v>
      </c>
      <c r="N42" t="s">
        <v>786</v>
      </c>
    </row>
    <row r="43" spans="1:14" x14ac:dyDescent="0.35">
      <c r="A43" s="5" t="s">
        <v>38</v>
      </c>
      <c r="B43" s="11">
        <v>119</v>
      </c>
      <c r="D43" s="5" t="s">
        <v>22</v>
      </c>
      <c r="E43" s="11">
        <v>387.59999999999997</v>
      </c>
      <c r="G43" s="5" t="s">
        <v>236</v>
      </c>
      <c r="H43" s="11">
        <v>23.7</v>
      </c>
      <c r="J43" s="5" t="s">
        <v>82</v>
      </c>
      <c r="K43" s="11">
        <v>62.400000000000006</v>
      </c>
      <c r="M43" s="5" t="s">
        <v>39</v>
      </c>
      <c r="N43" s="11">
        <v>167.00000000000003</v>
      </c>
    </row>
    <row r="44" spans="1:14" x14ac:dyDescent="0.35">
      <c r="A44" s="5" t="s">
        <v>68</v>
      </c>
      <c r="B44" s="11">
        <v>31</v>
      </c>
      <c r="D44" s="5" t="s">
        <v>36</v>
      </c>
      <c r="E44" s="11">
        <v>438.99999999999989</v>
      </c>
      <c r="G44" s="5" t="s">
        <v>322</v>
      </c>
      <c r="H44" s="11">
        <v>10.4</v>
      </c>
      <c r="J44" s="5" t="s">
        <v>42</v>
      </c>
      <c r="K44" s="11">
        <v>50.8</v>
      </c>
      <c r="M44" s="5" t="s">
        <v>76</v>
      </c>
      <c r="N44" s="11">
        <v>138.69999999999999</v>
      </c>
    </row>
    <row r="45" spans="1:14" x14ac:dyDescent="0.35">
      <c r="A45" s="5" t="s">
        <v>449</v>
      </c>
      <c r="B45" s="11">
        <v>33</v>
      </c>
      <c r="D45" s="5" t="s">
        <v>751</v>
      </c>
      <c r="E45" s="11">
        <v>826.59999999999991</v>
      </c>
      <c r="G45" s="5" t="s">
        <v>50</v>
      </c>
      <c r="H45" s="11">
        <v>37.099999999999994</v>
      </c>
      <c r="J45" s="5" t="s">
        <v>35</v>
      </c>
      <c r="K45" s="11">
        <v>112.70000000000003</v>
      </c>
      <c r="M45" s="5" t="s">
        <v>119</v>
      </c>
      <c r="N45" s="11">
        <v>102.00000000000003</v>
      </c>
    </row>
    <row r="46" spans="1:14" x14ac:dyDescent="0.35">
      <c r="A46" s="5" t="s">
        <v>137</v>
      </c>
      <c r="B46" s="11">
        <v>9</v>
      </c>
      <c r="G46" s="5" t="s">
        <v>132</v>
      </c>
      <c r="H46" s="11">
        <v>20.099999999999998</v>
      </c>
      <c r="J46" s="5" t="s">
        <v>191</v>
      </c>
      <c r="K46" s="11">
        <v>29</v>
      </c>
      <c r="M46" s="5" t="s">
        <v>71</v>
      </c>
      <c r="N46" s="11">
        <v>154.80000000000001</v>
      </c>
    </row>
    <row r="47" spans="1:14" x14ac:dyDescent="0.35">
      <c r="A47" s="5" t="s">
        <v>178</v>
      </c>
      <c r="B47" s="11">
        <v>39</v>
      </c>
      <c r="G47" s="5" t="s">
        <v>37</v>
      </c>
      <c r="H47" s="11">
        <v>46</v>
      </c>
      <c r="J47" s="5" t="s">
        <v>113</v>
      </c>
      <c r="K47" s="11">
        <v>28.099999999999998</v>
      </c>
      <c r="M47" s="5" t="s">
        <v>751</v>
      </c>
      <c r="N47" s="11">
        <v>562.5</v>
      </c>
    </row>
    <row r="48" spans="1:14" x14ac:dyDescent="0.35">
      <c r="A48" s="5" t="s">
        <v>116</v>
      </c>
      <c r="B48" s="11">
        <v>14</v>
      </c>
      <c r="G48" s="5" t="s">
        <v>181</v>
      </c>
      <c r="H48" s="11">
        <v>13.3</v>
      </c>
      <c r="J48" s="5" t="s">
        <v>96</v>
      </c>
      <c r="K48" s="11">
        <v>109.4</v>
      </c>
    </row>
    <row r="49" spans="1:11" x14ac:dyDescent="0.35">
      <c r="A49" s="5" t="s">
        <v>44</v>
      </c>
      <c r="B49" s="11">
        <v>10</v>
      </c>
      <c r="G49" s="5" t="s">
        <v>162</v>
      </c>
      <c r="H49" s="11">
        <v>27.5</v>
      </c>
      <c r="J49" s="5" t="s">
        <v>100</v>
      </c>
      <c r="K49" s="11">
        <v>30.200000000000003</v>
      </c>
    </row>
    <row r="50" spans="1:11" x14ac:dyDescent="0.35">
      <c r="A50" s="5" t="s">
        <v>51</v>
      </c>
      <c r="B50" s="11">
        <v>23</v>
      </c>
      <c r="G50" s="5" t="s">
        <v>378</v>
      </c>
      <c r="H50" s="11">
        <v>13.100000000000001</v>
      </c>
      <c r="J50" s="5" t="s">
        <v>103</v>
      </c>
      <c r="K50" s="11">
        <v>67.5</v>
      </c>
    </row>
    <row r="51" spans="1:11" x14ac:dyDescent="0.35">
      <c r="A51" s="5" t="s">
        <v>754</v>
      </c>
      <c r="B51" s="11">
        <v>10</v>
      </c>
      <c r="G51" s="5" t="s">
        <v>31</v>
      </c>
      <c r="H51" s="11">
        <v>21.2</v>
      </c>
      <c r="J51" s="5" t="s">
        <v>74</v>
      </c>
      <c r="K51" s="11">
        <v>91.499999999999972</v>
      </c>
    </row>
    <row r="52" spans="1:11" x14ac:dyDescent="0.35">
      <c r="A52" s="5" t="s">
        <v>751</v>
      </c>
      <c r="B52" s="11">
        <v>288</v>
      </c>
      <c r="G52" s="5" t="s">
        <v>89</v>
      </c>
      <c r="H52" s="11">
        <v>11.2</v>
      </c>
      <c r="J52" s="5" t="s">
        <v>61</v>
      </c>
      <c r="K52" s="11">
        <v>62.999999999999986</v>
      </c>
    </row>
    <row r="53" spans="1:11" x14ac:dyDescent="0.35">
      <c r="G53" s="5" t="s">
        <v>340</v>
      </c>
      <c r="H53" s="11">
        <v>24.9</v>
      </c>
      <c r="J53" s="5" t="s">
        <v>21</v>
      </c>
      <c r="K53" s="11">
        <v>54.4</v>
      </c>
    </row>
    <row r="54" spans="1:11" x14ac:dyDescent="0.35">
      <c r="G54" s="5" t="s">
        <v>207</v>
      </c>
      <c r="H54" s="11">
        <v>13.100000000000001</v>
      </c>
      <c r="J54" s="5" t="s">
        <v>29</v>
      </c>
      <c r="K54" s="11">
        <v>103.39999999999999</v>
      </c>
    </row>
    <row r="55" spans="1:11" x14ac:dyDescent="0.35">
      <c r="G55" s="5" t="s">
        <v>144</v>
      </c>
      <c r="H55" s="11">
        <v>11.3</v>
      </c>
      <c r="J55" s="5"/>
      <c r="K55" s="11">
        <v>24.200000000000003</v>
      </c>
    </row>
    <row r="56" spans="1:11" x14ac:dyDescent="0.35">
      <c r="G56" s="5" t="s">
        <v>97</v>
      </c>
      <c r="H56" s="11">
        <v>85.2</v>
      </c>
      <c r="J56" s="5" t="s">
        <v>751</v>
      </c>
      <c r="K56" s="11">
        <v>826.6</v>
      </c>
    </row>
    <row r="57" spans="1:11" x14ac:dyDescent="0.35">
      <c r="G57" s="5" t="s">
        <v>250</v>
      </c>
      <c r="H57" s="11">
        <v>19.2</v>
      </c>
    </row>
    <row r="58" spans="1:11" x14ac:dyDescent="0.35">
      <c r="G58" s="5" t="s">
        <v>79</v>
      </c>
      <c r="H58" s="11">
        <v>25.499999999999996</v>
      </c>
    </row>
    <row r="59" spans="1:11" x14ac:dyDescent="0.35">
      <c r="G59" s="5" t="s">
        <v>105</v>
      </c>
      <c r="H59" s="11">
        <v>25.7</v>
      </c>
    </row>
    <row r="60" spans="1:11" x14ac:dyDescent="0.35">
      <c r="G60" s="5" t="s">
        <v>83</v>
      </c>
      <c r="H60" s="11">
        <v>14.399999999999999</v>
      </c>
    </row>
    <row r="61" spans="1:11" x14ac:dyDescent="0.35">
      <c r="G61" s="5" t="s">
        <v>86</v>
      </c>
      <c r="H61" s="11">
        <v>19.5</v>
      </c>
    </row>
    <row r="62" spans="1:11" x14ac:dyDescent="0.35">
      <c r="G62" s="5" t="s">
        <v>754</v>
      </c>
      <c r="H62" s="11">
        <v>39.6</v>
      </c>
    </row>
    <row r="63" spans="1:11" x14ac:dyDescent="0.35">
      <c r="G63" s="5" t="s">
        <v>751</v>
      </c>
      <c r="H63" s="11">
        <v>501.99999999999994</v>
      </c>
    </row>
    <row r="89" spans="2:12" ht="28.5" x14ac:dyDescent="0.65">
      <c r="E89" s="19" t="s">
        <v>768</v>
      </c>
    </row>
    <row r="91" spans="2:12" x14ac:dyDescent="0.35">
      <c r="B91" s="4" t="s">
        <v>758</v>
      </c>
      <c r="C91" t="s">
        <v>771</v>
      </c>
      <c r="E91" s="4" t="s">
        <v>774</v>
      </c>
      <c r="F91" t="s">
        <v>771</v>
      </c>
      <c r="H91" s="4" t="s">
        <v>6</v>
      </c>
      <c r="I91" t="s">
        <v>770</v>
      </c>
      <c r="K91" s="4" t="s">
        <v>775</v>
      </c>
      <c r="L91" t="s">
        <v>770</v>
      </c>
    </row>
    <row r="92" spans="2:12" x14ac:dyDescent="0.35">
      <c r="B92" s="5" t="s">
        <v>22</v>
      </c>
      <c r="C92" s="10">
        <v>5.2816793893129752</v>
      </c>
      <c r="E92" s="5" t="s">
        <v>38</v>
      </c>
      <c r="F92" s="10">
        <v>5.2318584070796463</v>
      </c>
      <c r="H92" s="5" t="s">
        <v>236</v>
      </c>
      <c r="I92" s="11">
        <v>29.9</v>
      </c>
      <c r="K92" s="5">
        <v>0.6</v>
      </c>
      <c r="L92" s="11">
        <v>39.1</v>
      </c>
    </row>
    <row r="93" spans="2:12" x14ac:dyDescent="0.35">
      <c r="B93" s="5" t="s">
        <v>36</v>
      </c>
      <c r="C93" s="10">
        <v>5.1923076923076916</v>
      </c>
      <c r="E93" s="5" t="s">
        <v>68</v>
      </c>
      <c r="F93" s="10">
        <v>5.2931034482758621</v>
      </c>
      <c r="H93" s="5" t="s">
        <v>50</v>
      </c>
      <c r="I93" s="11">
        <v>59.099999999999987</v>
      </c>
      <c r="K93" s="5">
        <v>0.7</v>
      </c>
      <c r="L93" s="11">
        <v>48.199999999999996</v>
      </c>
    </row>
    <row r="94" spans="2:12" x14ac:dyDescent="0.35">
      <c r="B94" s="5" t="s">
        <v>751</v>
      </c>
      <c r="C94" s="10">
        <v>5.2350364963503653</v>
      </c>
      <c r="E94" s="5" t="s">
        <v>449</v>
      </c>
      <c r="F94" s="10">
        <v>5.5129032258064523</v>
      </c>
      <c r="H94" s="5" t="s">
        <v>514</v>
      </c>
      <c r="I94" s="11">
        <v>16.3</v>
      </c>
      <c r="K94" s="5">
        <v>0.9</v>
      </c>
      <c r="L94" s="11">
        <v>31.399999999999991</v>
      </c>
    </row>
    <row r="95" spans="2:12" x14ac:dyDescent="0.35">
      <c r="E95" s="5" t="s">
        <v>137</v>
      </c>
      <c r="F95" s="10">
        <v>5.5333333333333332</v>
      </c>
      <c r="H95" s="5" t="s">
        <v>132</v>
      </c>
      <c r="I95" s="11">
        <v>32.6</v>
      </c>
      <c r="K95" s="5">
        <v>1</v>
      </c>
      <c r="L95" s="11">
        <v>22.400000000000002</v>
      </c>
    </row>
    <row r="96" spans="2:12" x14ac:dyDescent="0.35">
      <c r="E96" s="5" t="s">
        <v>178</v>
      </c>
      <c r="F96" s="10">
        <v>5.060526315789474</v>
      </c>
      <c r="H96" s="5" t="s">
        <v>37</v>
      </c>
      <c r="I96" s="11">
        <v>90.1</v>
      </c>
      <c r="K96" s="5">
        <v>1.2</v>
      </c>
      <c r="L96" s="11">
        <v>36.9</v>
      </c>
    </row>
    <row r="97" spans="5:12" x14ac:dyDescent="0.35">
      <c r="E97" s="5" t="s">
        <v>116</v>
      </c>
      <c r="F97" s="10">
        <v>5.1142857142857139</v>
      </c>
      <c r="H97" s="5" t="s">
        <v>181</v>
      </c>
      <c r="I97" s="11">
        <v>15.1</v>
      </c>
      <c r="K97" s="5">
        <v>1.3</v>
      </c>
      <c r="L97" s="11">
        <v>34.1</v>
      </c>
    </row>
    <row r="98" spans="5:12" x14ac:dyDescent="0.35">
      <c r="E98" s="5" t="s">
        <v>44</v>
      </c>
      <c r="F98" s="10">
        <v>5.1499999999999995</v>
      </c>
      <c r="H98" s="5" t="s">
        <v>162</v>
      </c>
      <c r="I98" s="11">
        <v>40.799999999999997</v>
      </c>
      <c r="K98" s="5">
        <v>1.4</v>
      </c>
      <c r="L98" s="11">
        <v>23.599999999999998</v>
      </c>
    </row>
    <row r="99" spans="5:12" x14ac:dyDescent="0.35">
      <c r="E99" s="5" t="s">
        <v>51</v>
      </c>
      <c r="F99" s="10">
        <v>4.6400000000000006</v>
      </c>
      <c r="H99" s="5" t="s">
        <v>378</v>
      </c>
      <c r="I99" s="11">
        <v>19.100000000000001</v>
      </c>
      <c r="K99" s="5">
        <v>1.5</v>
      </c>
      <c r="L99" s="11">
        <v>49.5</v>
      </c>
    </row>
    <row r="100" spans="5:12" x14ac:dyDescent="0.35">
      <c r="E100" s="5" t="s">
        <v>754</v>
      </c>
      <c r="F100" s="10">
        <v>6.08</v>
      </c>
      <c r="H100" s="5" t="s">
        <v>31</v>
      </c>
      <c r="I100" s="11">
        <v>28.8</v>
      </c>
      <c r="K100" s="5">
        <v>1.6</v>
      </c>
      <c r="L100" s="11">
        <v>51.800000000000004</v>
      </c>
    </row>
    <row r="101" spans="5:12" x14ac:dyDescent="0.35">
      <c r="E101" s="5" t="s">
        <v>751</v>
      </c>
      <c r="F101" s="10">
        <v>5.2350364963503679</v>
      </c>
      <c r="H101" s="5" t="s">
        <v>89</v>
      </c>
      <c r="I101" s="11">
        <v>18.5</v>
      </c>
      <c r="K101" s="5">
        <v>1.7</v>
      </c>
      <c r="L101" s="11">
        <v>56.3</v>
      </c>
    </row>
    <row r="102" spans="5:12" x14ac:dyDescent="0.35">
      <c r="H102" s="5" t="s">
        <v>340</v>
      </c>
      <c r="I102" s="11">
        <v>40.6</v>
      </c>
      <c r="K102" s="5">
        <v>1.9</v>
      </c>
      <c r="L102" s="11">
        <v>46.5</v>
      </c>
    </row>
    <row r="103" spans="5:12" x14ac:dyDescent="0.35">
      <c r="H103" s="5" t="s">
        <v>353</v>
      </c>
      <c r="I103" s="11">
        <v>19.099999999999998</v>
      </c>
      <c r="K103" s="5">
        <v>2</v>
      </c>
      <c r="L103" s="11">
        <v>40.900000000000006</v>
      </c>
    </row>
    <row r="104" spans="5:12" x14ac:dyDescent="0.35">
      <c r="H104" s="5" t="s">
        <v>97</v>
      </c>
      <c r="I104" s="11">
        <v>135.20000000000002</v>
      </c>
      <c r="K104" s="5">
        <v>2.2000000000000002</v>
      </c>
      <c r="L104" s="11">
        <v>25.6</v>
      </c>
    </row>
    <row r="105" spans="5:12" x14ac:dyDescent="0.35">
      <c r="H105" s="5" t="s">
        <v>250</v>
      </c>
      <c r="I105" s="11">
        <v>30.5</v>
      </c>
      <c r="K105" s="5">
        <v>2.2999999999999998</v>
      </c>
      <c r="L105" s="11">
        <v>28.299999999999997</v>
      </c>
    </row>
    <row r="106" spans="5:12" x14ac:dyDescent="0.35">
      <c r="H106" s="5" t="s">
        <v>149</v>
      </c>
      <c r="I106" s="11">
        <v>21.2</v>
      </c>
      <c r="K106" s="5">
        <v>2.8</v>
      </c>
      <c r="L106" s="11">
        <v>30.299999999999997</v>
      </c>
    </row>
    <row r="107" spans="5:12" x14ac:dyDescent="0.35">
      <c r="H107" s="5" t="s">
        <v>295</v>
      </c>
      <c r="I107" s="11">
        <v>19.8</v>
      </c>
      <c r="K107" s="5">
        <v>2.9</v>
      </c>
      <c r="L107" s="11">
        <v>26.200000000000003</v>
      </c>
    </row>
    <row r="108" spans="5:12" x14ac:dyDescent="0.35">
      <c r="H108" s="5" t="s">
        <v>79</v>
      </c>
      <c r="I108" s="11">
        <v>41.8</v>
      </c>
      <c r="K108" s="5">
        <v>3.3</v>
      </c>
      <c r="L108" s="11">
        <v>26.7</v>
      </c>
    </row>
    <row r="109" spans="5:12" x14ac:dyDescent="0.35">
      <c r="H109" s="5" t="s">
        <v>153</v>
      </c>
      <c r="I109" s="11">
        <v>17.5</v>
      </c>
      <c r="K109" s="5">
        <v>3.4</v>
      </c>
      <c r="L109" s="11">
        <v>33.400000000000006</v>
      </c>
    </row>
    <row r="110" spans="5:12" x14ac:dyDescent="0.35">
      <c r="H110" s="5" t="s">
        <v>83</v>
      </c>
      <c r="I110" s="11">
        <v>35.1</v>
      </c>
      <c r="K110" s="5">
        <v>3.7</v>
      </c>
      <c r="L110" s="11">
        <v>25.9</v>
      </c>
    </row>
    <row r="111" spans="5:12" x14ac:dyDescent="0.35">
      <c r="H111" s="5" t="s">
        <v>86</v>
      </c>
      <c r="I111" s="11">
        <v>33.099999999999994</v>
      </c>
      <c r="K111" s="5">
        <v>3.9</v>
      </c>
      <c r="L111" s="11">
        <v>34.1</v>
      </c>
    </row>
    <row r="112" spans="5:12" x14ac:dyDescent="0.35">
      <c r="H112" s="5" t="s">
        <v>754</v>
      </c>
      <c r="I112" s="11">
        <v>58.9</v>
      </c>
      <c r="K112" s="5">
        <v>4.0999999999999996</v>
      </c>
      <c r="L112" s="11">
        <v>29.099999999999998</v>
      </c>
    </row>
    <row r="113" spans="8:12" x14ac:dyDescent="0.35">
      <c r="H113" s="5" t="s">
        <v>751</v>
      </c>
      <c r="I113" s="11">
        <v>803.1</v>
      </c>
      <c r="K113" s="5">
        <v>4.4000000000000004</v>
      </c>
      <c r="L113" s="11">
        <v>27</v>
      </c>
    </row>
    <row r="114" spans="8:12" x14ac:dyDescent="0.35">
      <c r="K114" s="5">
        <v>4.9000000000000004</v>
      </c>
      <c r="L114" s="11">
        <v>31.000000000000004</v>
      </c>
    </row>
    <row r="115" spans="8:12" x14ac:dyDescent="0.35">
      <c r="K115" s="5">
        <v>5</v>
      </c>
      <c r="L115" s="11">
        <v>27.5</v>
      </c>
    </row>
    <row r="116" spans="8:12" x14ac:dyDescent="0.35">
      <c r="K116" s="5">
        <v>5.4</v>
      </c>
      <c r="L116" s="11">
        <v>24.6</v>
      </c>
    </row>
    <row r="117" spans="8:12" x14ac:dyDescent="0.35">
      <c r="K117" s="5">
        <v>5.5</v>
      </c>
      <c r="L117" s="11">
        <v>23.7</v>
      </c>
    </row>
    <row r="118" spans="8:12" x14ac:dyDescent="0.35">
      <c r="K118" s="5">
        <v>5.7</v>
      </c>
      <c r="L118" s="11">
        <v>22.5</v>
      </c>
    </row>
    <row r="119" spans="8:12" x14ac:dyDescent="0.35">
      <c r="K119" s="5" t="s">
        <v>754</v>
      </c>
      <c r="L119" s="11">
        <v>39.599999999999994</v>
      </c>
    </row>
    <row r="120" spans="8:12" x14ac:dyDescent="0.35">
      <c r="K120" s="5" t="s">
        <v>751</v>
      </c>
      <c r="L120" s="11">
        <v>936.20000000000016</v>
      </c>
    </row>
    <row r="133" spans="2:17" ht="28.5" x14ac:dyDescent="0.65">
      <c r="C133" s="20" t="s">
        <v>777</v>
      </c>
    </row>
    <row r="135" spans="2:17" x14ac:dyDescent="0.35">
      <c r="B135" s="4" t="s">
        <v>750</v>
      </c>
      <c r="C135" t="s">
        <v>779</v>
      </c>
      <c r="E135" s="4" t="s">
        <v>765</v>
      </c>
      <c r="F135" t="s">
        <v>778</v>
      </c>
      <c r="H135" s="4" t="s">
        <v>6</v>
      </c>
      <c r="I135" t="s">
        <v>781</v>
      </c>
      <c r="K135" s="4" t="s">
        <v>783</v>
      </c>
      <c r="L135" t="s">
        <v>781</v>
      </c>
      <c r="N135" s="4" t="s">
        <v>750</v>
      </c>
      <c r="O135" t="s">
        <v>780</v>
      </c>
      <c r="P135" t="s">
        <v>781</v>
      </c>
      <c r="Q135" t="s">
        <v>782</v>
      </c>
    </row>
    <row r="136" spans="2:17" x14ac:dyDescent="0.35">
      <c r="B136" s="5" t="s">
        <v>22</v>
      </c>
      <c r="C136" s="11">
        <v>722</v>
      </c>
      <c r="E136" s="5" t="s">
        <v>38</v>
      </c>
      <c r="F136" s="11">
        <v>690</v>
      </c>
      <c r="H136" s="5" t="s">
        <v>724</v>
      </c>
      <c r="I136" s="11">
        <v>4.8</v>
      </c>
      <c r="K136" s="5">
        <v>0.5</v>
      </c>
      <c r="L136" s="11">
        <v>1.8199999999999998</v>
      </c>
      <c r="N136" s="5" t="s">
        <v>22</v>
      </c>
      <c r="O136" s="10">
        <v>2.8711111111111109</v>
      </c>
      <c r="P136" s="10">
        <v>5.5538461538461537</v>
      </c>
      <c r="Q136" s="10">
        <v>8.3437037037037047</v>
      </c>
    </row>
    <row r="137" spans="2:17" x14ac:dyDescent="0.35">
      <c r="B137" s="5" t="s">
        <v>36</v>
      </c>
      <c r="C137" s="11">
        <v>893.19999999999993</v>
      </c>
      <c r="E137" s="5" t="s">
        <v>68</v>
      </c>
      <c r="F137" s="11">
        <v>162.79999999999998</v>
      </c>
      <c r="H137" s="5" t="s">
        <v>236</v>
      </c>
      <c r="I137" s="11">
        <v>11.475</v>
      </c>
      <c r="K137" s="5">
        <v>0.6</v>
      </c>
      <c r="L137" s="11">
        <v>1.9916666666666669</v>
      </c>
      <c r="N137" s="5" t="s">
        <v>36</v>
      </c>
      <c r="O137" s="10">
        <v>3.0068493150684925</v>
      </c>
      <c r="P137" s="10">
        <v>6.0351351351351346</v>
      </c>
      <c r="Q137" s="10">
        <v>6.2312499999999984</v>
      </c>
    </row>
    <row r="138" spans="2:17" x14ac:dyDescent="0.35">
      <c r="B138" s="5" t="s">
        <v>751</v>
      </c>
      <c r="C138" s="11">
        <v>1615.1999999999998</v>
      </c>
      <c r="E138" s="5" t="s">
        <v>449</v>
      </c>
      <c r="F138" s="11">
        <v>210.40000000000003</v>
      </c>
      <c r="H138" s="5" t="s">
        <v>335</v>
      </c>
      <c r="I138" s="11">
        <v>0.6</v>
      </c>
      <c r="K138" s="5">
        <v>0.7</v>
      </c>
      <c r="L138" s="11">
        <v>2.375</v>
      </c>
      <c r="N138" s="5" t="s">
        <v>751</v>
      </c>
      <c r="O138" s="10">
        <v>2.941637010676156</v>
      </c>
      <c r="P138" s="10">
        <v>5.8100719424460436</v>
      </c>
      <c r="Q138" s="10">
        <v>7.2534050179211471</v>
      </c>
    </row>
    <row r="139" spans="2:17" x14ac:dyDescent="0.35">
      <c r="E139" s="5" t="s">
        <v>137</v>
      </c>
      <c r="F139" s="11">
        <v>45.9</v>
      </c>
      <c r="H139" s="5" t="s">
        <v>487</v>
      </c>
      <c r="I139" s="11">
        <v>7.1</v>
      </c>
      <c r="K139" s="5">
        <v>0.8</v>
      </c>
      <c r="L139" s="11">
        <v>1.7</v>
      </c>
    </row>
    <row r="140" spans="2:17" x14ac:dyDescent="0.35">
      <c r="E140" s="5" t="s">
        <v>178</v>
      </c>
      <c r="F140" s="11">
        <v>204.99999999999994</v>
      </c>
      <c r="H140" s="5" t="s">
        <v>372</v>
      </c>
      <c r="I140" s="11">
        <v>7.1</v>
      </c>
      <c r="K140" s="5">
        <v>0.9</v>
      </c>
      <c r="L140" s="11">
        <v>1.375</v>
      </c>
    </row>
    <row r="141" spans="2:17" x14ac:dyDescent="0.35">
      <c r="E141" s="5" t="s">
        <v>116</v>
      </c>
      <c r="F141" s="11">
        <v>76.800000000000011</v>
      </c>
      <c r="H141" s="5" t="s">
        <v>322</v>
      </c>
      <c r="I141" s="11">
        <v>8.1999999999999993</v>
      </c>
      <c r="K141" s="5">
        <v>1</v>
      </c>
      <c r="L141" s="11">
        <v>2.5857142857142859</v>
      </c>
    </row>
    <row r="142" spans="2:17" x14ac:dyDescent="0.35">
      <c r="E142" s="5" t="s">
        <v>44</v>
      </c>
      <c r="F142" s="11">
        <v>47.9</v>
      </c>
      <c r="H142" s="5" t="s">
        <v>108</v>
      </c>
      <c r="I142" s="11">
        <v>0</v>
      </c>
      <c r="K142" s="5">
        <v>1.1000000000000001</v>
      </c>
      <c r="L142" s="11">
        <v>5.35</v>
      </c>
    </row>
    <row r="143" spans="2:17" x14ac:dyDescent="0.35">
      <c r="E143" s="5" t="s">
        <v>51</v>
      </c>
      <c r="F143" s="11">
        <v>124</v>
      </c>
      <c r="H143" s="5" t="s">
        <v>729</v>
      </c>
      <c r="I143" s="11">
        <v>3.9</v>
      </c>
      <c r="K143" s="5">
        <v>1.2</v>
      </c>
      <c r="L143" s="11">
        <v>2.8555555555555556</v>
      </c>
    </row>
    <row r="144" spans="2:17" x14ac:dyDescent="0.35">
      <c r="E144" s="5" t="s">
        <v>754</v>
      </c>
      <c r="F144" s="11">
        <v>52.4</v>
      </c>
      <c r="H144" s="5" t="s">
        <v>481</v>
      </c>
      <c r="I144" s="11"/>
      <c r="K144" s="5">
        <v>1.3</v>
      </c>
      <c r="L144" s="11">
        <v>3.0888888888888895</v>
      </c>
    </row>
    <row r="145" spans="5:12" x14ac:dyDescent="0.35">
      <c r="E145" s="5" t="s">
        <v>751</v>
      </c>
      <c r="F145" s="11">
        <v>1615.2000000000003</v>
      </c>
      <c r="H145" s="5" t="s">
        <v>708</v>
      </c>
      <c r="I145" s="11">
        <v>3.7</v>
      </c>
      <c r="K145" s="5">
        <v>1.4</v>
      </c>
      <c r="L145" s="11">
        <v>2.4555555555555557</v>
      </c>
    </row>
    <row r="146" spans="5:12" x14ac:dyDescent="0.35">
      <c r="H146" s="5" t="s">
        <v>471</v>
      </c>
      <c r="I146" s="11">
        <v>2.7</v>
      </c>
      <c r="K146" s="5">
        <v>1.5</v>
      </c>
      <c r="L146" s="11">
        <v>4.1166666666666663</v>
      </c>
    </row>
    <row r="147" spans="5:12" x14ac:dyDescent="0.35">
      <c r="H147" s="5" t="s">
        <v>177</v>
      </c>
      <c r="I147" s="11">
        <v>14.9</v>
      </c>
      <c r="K147" s="5">
        <v>1.6</v>
      </c>
      <c r="L147" s="11">
        <v>4.8916666666666666</v>
      </c>
    </row>
    <row r="148" spans="5:12" x14ac:dyDescent="0.35">
      <c r="H148" s="5" t="s">
        <v>267</v>
      </c>
      <c r="I148" s="11">
        <v>2.9</v>
      </c>
      <c r="K148" s="5">
        <v>1.7</v>
      </c>
      <c r="L148" s="11">
        <v>4.4750000000000005</v>
      </c>
    </row>
    <row r="149" spans="5:12" x14ac:dyDescent="0.35">
      <c r="H149" s="5" t="s">
        <v>591</v>
      </c>
      <c r="I149" s="11">
        <v>5.6</v>
      </c>
      <c r="K149" s="5">
        <v>1.8</v>
      </c>
      <c r="L149" s="11">
        <v>3.9666666666666663</v>
      </c>
    </row>
    <row r="150" spans="5:12" x14ac:dyDescent="0.35">
      <c r="H150" s="5" t="s">
        <v>225</v>
      </c>
      <c r="I150" s="11">
        <v>0.7</v>
      </c>
      <c r="K150" s="5">
        <v>1.9</v>
      </c>
      <c r="L150" s="11">
        <v>3.6363636363636362</v>
      </c>
    </row>
    <row r="151" spans="5:12" x14ac:dyDescent="0.35">
      <c r="H151" s="5" t="s">
        <v>50</v>
      </c>
      <c r="I151" s="11">
        <v>6.3727272727272721</v>
      </c>
      <c r="K151" s="5">
        <v>2</v>
      </c>
      <c r="L151" s="11">
        <v>4.1625000000000005</v>
      </c>
    </row>
    <row r="152" spans="5:12" x14ac:dyDescent="0.35">
      <c r="H152" s="5" t="s">
        <v>514</v>
      </c>
      <c r="I152" s="11">
        <v>5.8666666666666671</v>
      </c>
      <c r="K152" s="5">
        <v>2.1</v>
      </c>
      <c r="L152" s="11">
        <v>3.4</v>
      </c>
    </row>
    <row r="153" spans="5:12" x14ac:dyDescent="0.35">
      <c r="H153" s="5" t="s">
        <v>461</v>
      </c>
      <c r="I153" s="11">
        <v>5.3</v>
      </c>
      <c r="K153" s="5">
        <v>2.2000000000000002</v>
      </c>
      <c r="L153" s="11">
        <v>3.38</v>
      </c>
    </row>
    <row r="154" spans="5:12" x14ac:dyDescent="0.35">
      <c r="H154" s="5" t="s">
        <v>535</v>
      </c>
      <c r="I154" s="11">
        <v>7.2</v>
      </c>
      <c r="K154" s="5">
        <v>2.2999999999999998</v>
      </c>
      <c r="L154" s="11">
        <v>2.9166666666666665</v>
      </c>
    </row>
    <row r="155" spans="5:12" x14ac:dyDescent="0.35">
      <c r="H155" s="5" t="s">
        <v>243</v>
      </c>
      <c r="I155" s="11">
        <v>4</v>
      </c>
      <c r="K155" s="5">
        <v>2.4</v>
      </c>
      <c r="L155" s="11">
        <v>4.8500000000000005</v>
      </c>
    </row>
    <row r="156" spans="5:12" x14ac:dyDescent="0.35">
      <c r="H156" s="5" t="s">
        <v>132</v>
      </c>
      <c r="I156" s="11">
        <v>6.8333333333333321</v>
      </c>
      <c r="K156" s="5">
        <v>2.5</v>
      </c>
      <c r="L156" s="11">
        <v>5</v>
      </c>
    </row>
    <row r="157" spans="5:12" x14ac:dyDescent="0.35">
      <c r="H157" s="5" t="s">
        <v>24</v>
      </c>
      <c r="I157" s="11">
        <v>2.9</v>
      </c>
      <c r="K157" s="5">
        <v>2.6</v>
      </c>
      <c r="L157" s="11">
        <v>4.2</v>
      </c>
    </row>
    <row r="158" spans="5:12" x14ac:dyDescent="0.35">
      <c r="H158" s="5" t="s">
        <v>54</v>
      </c>
      <c r="I158" s="11">
        <v>5.3</v>
      </c>
      <c r="K158" s="5">
        <v>2.7</v>
      </c>
      <c r="L158" s="11">
        <v>6.375</v>
      </c>
    </row>
    <row r="159" spans="5:12" x14ac:dyDescent="0.35">
      <c r="H159" s="5" t="s">
        <v>216</v>
      </c>
      <c r="I159" s="11">
        <v>8.4</v>
      </c>
      <c r="K159" s="5">
        <v>2.8</v>
      </c>
      <c r="L159" s="11">
        <v>6.6400000000000006</v>
      </c>
    </row>
    <row r="160" spans="5:12" x14ac:dyDescent="0.35">
      <c r="H160" s="5" t="s">
        <v>395</v>
      </c>
      <c r="I160" s="11">
        <v>0</v>
      </c>
      <c r="K160" s="5">
        <v>2.9</v>
      </c>
      <c r="L160" s="11">
        <v>7.7666666666666666</v>
      </c>
    </row>
    <row r="161" spans="8:12" x14ac:dyDescent="0.35">
      <c r="H161" s="5" t="s">
        <v>37</v>
      </c>
      <c r="I161" s="11">
        <v>6.3176470588235292</v>
      </c>
      <c r="K161" s="5">
        <v>3</v>
      </c>
      <c r="L161" s="11">
        <v>6.4</v>
      </c>
    </row>
    <row r="162" spans="8:12" x14ac:dyDescent="0.35">
      <c r="H162" s="5" t="s">
        <v>409</v>
      </c>
      <c r="I162" s="11">
        <v>2</v>
      </c>
      <c r="K162" s="5">
        <v>3.1</v>
      </c>
      <c r="L162" s="11">
        <v>5.2</v>
      </c>
    </row>
    <row r="163" spans="8:12" x14ac:dyDescent="0.35">
      <c r="H163" s="5" t="s">
        <v>365</v>
      </c>
      <c r="I163" s="11">
        <v>4.8</v>
      </c>
      <c r="K163" s="5">
        <v>3.2</v>
      </c>
      <c r="L163" s="11">
        <v>7.4</v>
      </c>
    </row>
    <row r="164" spans="8:12" x14ac:dyDescent="0.35">
      <c r="H164" s="5" t="s">
        <v>210</v>
      </c>
      <c r="I164" s="11">
        <v>2.2000000000000002</v>
      </c>
      <c r="K164" s="5">
        <v>3.3</v>
      </c>
      <c r="L164" s="11">
        <v>6.625</v>
      </c>
    </row>
    <row r="165" spans="8:12" x14ac:dyDescent="0.35">
      <c r="H165" s="5" t="s">
        <v>567</v>
      </c>
      <c r="I165" s="11">
        <v>4.8499999999999996</v>
      </c>
      <c r="K165" s="5">
        <v>3.4</v>
      </c>
      <c r="L165" s="11">
        <v>7.1500000000000012</v>
      </c>
    </row>
    <row r="166" spans="8:12" x14ac:dyDescent="0.35">
      <c r="H166" s="5" t="s">
        <v>289</v>
      </c>
      <c r="I166" s="11">
        <v>4.7</v>
      </c>
      <c r="K166" s="5">
        <v>3.5</v>
      </c>
      <c r="L166" s="11">
        <v>7.65</v>
      </c>
    </row>
    <row r="167" spans="8:12" x14ac:dyDescent="0.35">
      <c r="H167" s="5" t="s">
        <v>181</v>
      </c>
      <c r="I167" s="11">
        <v>13.5</v>
      </c>
      <c r="K167" s="5">
        <v>3.6</v>
      </c>
      <c r="L167" s="11">
        <v>5.2</v>
      </c>
    </row>
    <row r="168" spans="8:12" x14ac:dyDescent="0.35">
      <c r="H168" s="5" t="s">
        <v>162</v>
      </c>
      <c r="I168" s="11">
        <v>7.7375000000000007</v>
      </c>
      <c r="K168" s="5">
        <v>3.7</v>
      </c>
      <c r="L168" s="11">
        <v>7.2249999999999996</v>
      </c>
    </row>
    <row r="169" spans="8:12" x14ac:dyDescent="0.35">
      <c r="H169" s="5" t="s">
        <v>378</v>
      </c>
      <c r="I169" s="11">
        <v>7.8</v>
      </c>
      <c r="K169" s="5">
        <v>3.8</v>
      </c>
      <c r="L169" s="11">
        <v>8.1999999999999993</v>
      </c>
    </row>
    <row r="170" spans="8:12" x14ac:dyDescent="0.35">
      <c r="H170" s="5" t="s">
        <v>332</v>
      </c>
      <c r="I170" s="11">
        <v>4.9000000000000004</v>
      </c>
      <c r="K170" s="5">
        <v>3.9</v>
      </c>
      <c r="L170" s="11">
        <v>8.48</v>
      </c>
    </row>
    <row r="171" spans="8:12" x14ac:dyDescent="0.35">
      <c r="H171" s="5" t="s">
        <v>656</v>
      </c>
      <c r="I171" s="11"/>
      <c r="K171" s="5">
        <v>4</v>
      </c>
      <c r="L171" s="11">
        <v>6.8000000000000007</v>
      </c>
    </row>
    <row r="172" spans="8:12" x14ac:dyDescent="0.35">
      <c r="H172" s="5" t="s">
        <v>93</v>
      </c>
      <c r="I172" s="11">
        <v>3.4</v>
      </c>
      <c r="K172" s="5">
        <v>4.0999999999999996</v>
      </c>
      <c r="L172" s="11">
        <v>7.92</v>
      </c>
    </row>
    <row r="173" spans="8:12" x14ac:dyDescent="0.35">
      <c r="H173" s="5" t="s">
        <v>659</v>
      </c>
      <c r="I173" s="11">
        <v>4</v>
      </c>
      <c r="K173" s="5">
        <v>4.2</v>
      </c>
      <c r="L173" s="11">
        <v>5.6</v>
      </c>
    </row>
    <row r="174" spans="8:12" x14ac:dyDescent="0.35">
      <c r="H174" s="5" t="s">
        <v>258</v>
      </c>
      <c r="I174" s="11">
        <v>4</v>
      </c>
      <c r="K174" s="5">
        <v>4.3</v>
      </c>
      <c r="L174" s="11">
        <v>6.5333333333333341</v>
      </c>
    </row>
    <row r="175" spans="8:12" x14ac:dyDescent="0.35">
      <c r="H175" s="5" t="s">
        <v>31</v>
      </c>
      <c r="I175" s="11">
        <v>7.7666666666666657</v>
      </c>
      <c r="K175" s="5">
        <v>4.4000000000000004</v>
      </c>
      <c r="L175" s="11">
        <v>7.95</v>
      </c>
    </row>
    <row r="176" spans="8:12" x14ac:dyDescent="0.35">
      <c r="H176" s="5" t="s">
        <v>345</v>
      </c>
      <c r="I176" s="11">
        <v>2.7</v>
      </c>
      <c r="K176" s="5">
        <v>4.5</v>
      </c>
      <c r="L176" s="11">
        <v>5.5</v>
      </c>
    </row>
    <row r="177" spans="8:12" x14ac:dyDescent="0.35">
      <c r="H177" s="5" t="s">
        <v>89</v>
      </c>
      <c r="I177" s="11">
        <v>5.7249999999999996</v>
      </c>
      <c r="K177" s="5">
        <v>4.5999999999999996</v>
      </c>
      <c r="L177" s="11">
        <v>9.6999999999999993</v>
      </c>
    </row>
    <row r="178" spans="8:12" x14ac:dyDescent="0.35">
      <c r="H178" s="5" t="s">
        <v>588</v>
      </c>
      <c r="I178" s="11">
        <v>5.5</v>
      </c>
      <c r="K178" s="5">
        <v>4.8</v>
      </c>
      <c r="L178" s="11">
        <v>5.7</v>
      </c>
    </row>
    <row r="179" spans="8:12" x14ac:dyDescent="0.35">
      <c r="H179" s="5" t="s">
        <v>156</v>
      </c>
      <c r="I179" s="11">
        <v>6.5</v>
      </c>
      <c r="K179" s="5">
        <v>4.9000000000000004</v>
      </c>
      <c r="L179" s="11">
        <v>9.18</v>
      </c>
    </row>
    <row r="180" spans="8:12" x14ac:dyDescent="0.35">
      <c r="H180" s="5" t="s">
        <v>264</v>
      </c>
      <c r="I180" s="11">
        <v>4.2</v>
      </c>
      <c r="K180" s="5">
        <v>5</v>
      </c>
      <c r="L180" s="21">
        <v>11.066666666666668</v>
      </c>
    </row>
    <row r="181" spans="8:12" x14ac:dyDescent="0.35">
      <c r="H181" s="5" t="s">
        <v>261</v>
      </c>
      <c r="I181" s="11">
        <v>5.7</v>
      </c>
      <c r="K181" s="5">
        <v>5.0999999999999996</v>
      </c>
      <c r="L181" s="21">
        <v>11.4</v>
      </c>
    </row>
    <row r="182" spans="8:12" x14ac:dyDescent="0.35">
      <c r="H182" s="5" t="s">
        <v>340</v>
      </c>
      <c r="I182" s="11">
        <v>5.2099999999999991</v>
      </c>
      <c r="K182" s="5">
        <v>5.2</v>
      </c>
      <c r="L182" s="21">
        <v>12.1</v>
      </c>
    </row>
    <row r="183" spans="8:12" x14ac:dyDescent="0.35">
      <c r="H183" s="5" t="s">
        <v>528</v>
      </c>
      <c r="I183" s="11">
        <v>0.5</v>
      </c>
      <c r="K183" s="5">
        <v>5.3</v>
      </c>
      <c r="L183" s="21">
        <v>10.7</v>
      </c>
    </row>
    <row r="184" spans="8:12" x14ac:dyDescent="0.35">
      <c r="H184" s="5" t="s">
        <v>742</v>
      </c>
      <c r="I184" s="11">
        <v>11.5</v>
      </c>
      <c r="K184" s="5">
        <v>5.4</v>
      </c>
      <c r="L184" s="21">
        <v>10.200000000000001</v>
      </c>
    </row>
    <row r="185" spans="8:12" x14ac:dyDescent="0.35">
      <c r="H185" s="5" t="s">
        <v>577</v>
      </c>
      <c r="I185" s="11">
        <v>7.4</v>
      </c>
      <c r="K185" s="5">
        <v>5.5</v>
      </c>
      <c r="L185" s="21">
        <v>9.5500000000000007</v>
      </c>
    </row>
    <row r="186" spans="8:12" x14ac:dyDescent="0.35">
      <c r="H186" s="5" t="s">
        <v>219</v>
      </c>
      <c r="I186" s="11">
        <v>0.1</v>
      </c>
      <c r="K186" s="5">
        <v>5.7</v>
      </c>
      <c r="L186" s="21">
        <v>12.6</v>
      </c>
    </row>
    <row r="187" spans="8:12" x14ac:dyDescent="0.35">
      <c r="H187" s="5" t="s">
        <v>350</v>
      </c>
      <c r="I187" s="11">
        <v>7.9</v>
      </c>
      <c r="K187" s="5">
        <v>5.8</v>
      </c>
      <c r="L187" s="21">
        <v>11.85</v>
      </c>
    </row>
    <row r="188" spans="8:12" x14ac:dyDescent="0.35">
      <c r="H188" s="5" t="s">
        <v>688</v>
      </c>
      <c r="I188" s="11">
        <v>6.2</v>
      </c>
      <c r="K188" s="5">
        <v>5.9</v>
      </c>
      <c r="L188" s="21">
        <v>11.166666666666666</v>
      </c>
    </row>
    <row r="189" spans="8:12" x14ac:dyDescent="0.35">
      <c r="H189" s="5" t="s">
        <v>43</v>
      </c>
      <c r="I189" s="11">
        <v>6.4</v>
      </c>
      <c r="K189" s="5">
        <v>6</v>
      </c>
      <c r="L189" s="21">
        <v>13.1</v>
      </c>
    </row>
    <row r="190" spans="8:12" x14ac:dyDescent="0.35">
      <c r="H190" s="5" t="s">
        <v>122</v>
      </c>
      <c r="I190" s="11">
        <v>4.5</v>
      </c>
      <c r="K190" s="5">
        <v>6.1</v>
      </c>
      <c r="L190" s="21">
        <v>8.9</v>
      </c>
    </row>
    <row r="191" spans="8:12" x14ac:dyDescent="0.35">
      <c r="H191" s="5" t="s">
        <v>497</v>
      </c>
      <c r="I191" s="11">
        <v>3.8</v>
      </c>
      <c r="K191" s="5">
        <v>6.3</v>
      </c>
      <c r="L191" s="21">
        <v>10</v>
      </c>
    </row>
    <row r="192" spans="8:12" x14ac:dyDescent="0.35">
      <c r="H192" s="5" t="s">
        <v>270</v>
      </c>
      <c r="I192" s="11">
        <v>2.6</v>
      </c>
      <c r="K192" s="5">
        <v>6.5</v>
      </c>
      <c r="L192" s="21">
        <v>14.2</v>
      </c>
    </row>
    <row r="193" spans="8:12" x14ac:dyDescent="0.35">
      <c r="H193" s="5" t="s">
        <v>616</v>
      </c>
      <c r="I193" s="11">
        <v>16.5</v>
      </c>
      <c r="K193" s="5">
        <v>6.8</v>
      </c>
      <c r="L193" s="21">
        <v>14.1</v>
      </c>
    </row>
    <row r="194" spans="8:12" x14ac:dyDescent="0.35">
      <c r="H194" s="5" t="s">
        <v>600</v>
      </c>
      <c r="I194" s="11">
        <v>5.0999999999999996</v>
      </c>
      <c r="K194" s="5">
        <v>7</v>
      </c>
      <c r="L194" s="21">
        <v>12.8</v>
      </c>
    </row>
    <row r="195" spans="8:12" x14ac:dyDescent="0.35">
      <c r="H195" s="5" t="s">
        <v>353</v>
      </c>
      <c r="I195" s="11">
        <v>3.72</v>
      </c>
      <c r="K195" s="5">
        <v>7.1</v>
      </c>
      <c r="L195" s="21">
        <v>11.6</v>
      </c>
    </row>
    <row r="196" spans="8:12" x14ac:dyDescent="0.35">
      <c r="H196" s="5" t="s">
        <v>484</v>
      </c>
      <c r="I196" s="11">
        <v>7.5</v>
      </c>
      <c r="K196" s="5">
        <v>7.2</v>
      </c>
      <c r="L196" s="21">
        <v>12.45</v>
      </c>
    </row>
    <row r="197" spans="8:12" x14ac:dyDescent="0.35">
      <c r="H197" s="5" t="s">
        <v>222</v>
      </c>
      <c r="I197" s="11">
        <v>8.3000000000000007</v>
      </c>
      <c r="K197" s="5">
        <v>7.4</v>
      </c>
      <c r="L197" s="21">
        <v>12.3</v>
      </c>
    </row>
    <row r="198" spans="8:12" x14ac:dyDescent="0.35">
      <c r="H198" s="5" t="s">
        <v>67</v>
      </c>
      <c r="I198" s="11">
        <v>3.9</v>
      </c>
      <c r="K198" s="5">
        <v>7.7</v>
      </c>
      <c r="L198" s="21">
        <v>13.6</v>
      </c>
    </row>
    <row r="199" spans="8:12" x14ac:dyDescent="0.35">
      <c r="H199" s="5" t="s">
        <v>207</v>
      </c>
      <c r="I199" s="11">
        <v>12.8</v>
      </c>
      <c r="K199" s="5">
        <v>7.9</v>
      </c>
      <c r="L199" s="21">
        <v>14.2</v>
      </c>
    </row>
    <row r="200" spans="8:12" x14ac:dyDescent="0.35">
      <c r="H200" s="5" t="s">
        <v>58</v>
      </c>
      <c r="I200" s="11">
        <v>6.6</v>
      </c>
      <c r="K200" s="5">
        <v>8</v>
      </c>
      <c r="L200" s="21">
        <v>16.05</v>
      </c>
    </row>
    <row r="201" spans="8:12" x14ac:dyDescent="0.35">
      <c r="H201" s="5" t="s">
        <v>556</v>
      </c>
      <c r="I201" s="11">
        <v>9.3000000000000007</v>
      </c>
      <c r="K201" s="5">
        <v>8.1</v>
      </c>
      <c r="L201" s="21">
        <v>16.5</v>
      </c>
    </row>
    <row r="202" spans="8:12" x14ac:dyDescent="0.35">
      <c r="H202" s="5" t="s">
        <v>544</v>
      </c>
      <c r="I202" s="11">
        <v>2.5</v>
      </c>
      <c r="K202" s="5">
        <v>8.5</v>
      </c>
      <c r="L202" s="21">
        <v>15.6</v>
      </c>
    </row>
    <row r="203" spans="8:12" x14ac:dyDescent="0.35">
      <c r="H203" s="5" t="s">
        <v>549</v>
      </c>
      <c r="I203" s="11">
        <v>5</v>
      </c>
      <c r="K203" s="5">
        <v>8.6</v>
      </c>
      <c r="L203" s="21">
        <v>17.7</v>
      </c>
    </row>
    <row r="204" spans="8:12" x14ac:dyDescent="0.35">
      <c r="H204" s="5" t="s">
        <v>292</v>
      </c>
      <c r="I204" s="11">
        <v>0</v>
      </c>
      <c r="K204" s="5">
        <v>9.1</v>
      </c>
      <c r="L204" s="21">
        <v>14.9</v>
      </c>
    </row>
    <row r="205" spans="8:12" x14ac:dyDescent="0.35">
      <c r="H205" s="5" t="s">
        <v>159</v>
      </c>
      <c r="I205" s="11">
        <v>0</v>
      </c>
      <c r="K205" s="5">
        <v>9.5</v>
      </c>
      <c r="L205" s="21">
        <v>15.2</v>
      </c>
    </row>
    <row r="206" spans="8:12" x14ac:dyDescent="0.35">
      <c r="H206" s="5" t="s">
        <v>144</v>
      </c>
      <c r="I206" s="11">
        <v>9.4499999999999993</v>
      </c>
      <c r="K206" s="5">
        <v>9.6</v>
      </c>
      <c r="L206" s="21">
        <v>19.399999999999999</v>
      </c>
    </row>
    <row r="207" spans="8:12" x14ac:dyDescent="0.35">
      <c r="H207" s="5" t="s">
        <v>97</v>
      </c>
      <c r="I207" s="11">
        <v>7.8590909090909093</v>
      </c>
      <c r="K207" s="5">
        <v>9.6999999999999993</v>
      </c>
      <c r="L207" s="21">
        <v>17.2</v>
      </c>
    </row>
    <row r="208" spans="8:12" x14ac:dyDescent="0.35">
      <c r="H208" s="5" t="s">
        <v>250</v>
      </c>
      <c r="I208" s="11">
        <v>8.9499999999999993</v>
      </c>
      <c r="K208" s="5">
        <v>9.8000000000000007</v>
      </c>
      <c r="L208" s="21">
        <v>15.8</v>
      </c>
    </row>
    <row r="209" spans="8:12" x14ac:dyDescent="0.35">
      <c r="H209" s="5" t="s">
        <v>326</v>
      </c>
      <c r="I209" s="11">
        <v>5.2</v>
      </c>
      <c r="K209" s="5">
        <v>9.9</v>
      </c>
      <c r="L209" s="21">
        <v>16.2</v>
      </c>
    </row>
    <row r="210" spans="8:12" x14ac:dyDescent="0.35">
      <c r="H210" s="5" t="s">
        <v>375</v>
      </c>
      <c r="I210" s="11">
        <v>1.3</v>
      </c>
      <c r="K210" s="5">
        <v>23</v>
      </c>
      <c r="L210" s="21">
        <v>5.4</v>
      </c>
    </row>
    <row r="211" spans="8:12" x14ac:dyDescent="0.35">
      <c r="H211" s="5" t="s">
        <v>476</v>
      </c>
      <c r="I211" s="11">
        <v>4.4000000000000004</v>
      </c>
      <c r="K211" s="5" t="s">
        <v>754</v>
      </c>
      <c r="L211" s="11">
        <v>5.7000000000000011</v>
      </c>
    </row>
    <row r="212" spans="8:12" x14ac:dyDescent="0.35">
      <c r="H212" s="5" t="s">
        <v>298</v>
      </c>
      <c r="I212" s="11">
        <v>3</v>
      </c>
      <c r="K212" s="5" t="s">
        <v>751</v>
      </c>
      <c r="L212" s="11">
        <v>5.8100719424460436</v>
      </c>
    </row>
    <row r="213" spans="8:12" x14ac:dyDescent="0.35">
      <c r="H213" s="5" t="s">
        <v>329</v>
      </c>
      <c r="I213" s="11">
        <v>13.1</v>
      </c>
    </row>
    <row r="214" spans="8:12" x14ac:dyDescent="0.35">
      <c r="H214" s="5" t="s">
        <v>149</v>
      </c>
      <c r="I214" s="11">
        <v>4.8600000000000003</v>
      </c>
    </row>
    <row r="215" spans="8:12" x14ac:dyDescent="0.35">
      <c r="H215" s="5" t="s">
        <v>295</v>
      </c>
      <c r="I215" s="11">
        <v>8.3666666666666654</v>
      </c>
    </row>
    <row r="216" spans="8:12" x14ac:dyDescent="0.35">
      <c r="H216" s="5" t="s">
        <v>414</v>
      </c>
      <c r="I216" s="11">
        <v>8.9499999999999993</v>
      </c>
    </row>
    <row r="217" spans="8:12" x14ac:dyDescent="0.35">
      <c r="H217" s="5" t="s">
        <v>423</v>
      </c>
      <c r="I217" s="11">
        <v>7.1</v>
      </c>
    </row>
    <row r="218" spans="8:12" x14ac:dyDescent="0.35">
      <c r="H218" s="5" t="s">
        <v>114</v>
      </c>
      <c r="I218" s="11">
        <v>2.7</v>
      </c>
    </row>
    <row r="219" spans="8:12" x14ac:dyDescent="0.35">
      <c r="H219" s="5" t="s">
        <v>643</v>
      </c>
      <c r="I219" s="11">
        <v>1.5</v>
      </c>
    </row>
    <row r="220" spans="8:12" x14ac:dyDescent="0.35">
      <c r="H220" s="5" t="s">
        <v>303</v>
      </c>
      <c r="I220" s="11">
        <v>5.2</v>
      </c>
    </row>
    <row r="221" spans="8:12" x14ac:dyDescent="0.35">
      <c r="H221" s="5" t="s">
        <v>362</v>
      </c>
      <c r="I221" s="11">
        <v>2.7</v>
      </c>
    </row>
    <row r="222" spans="8:12" x14ac:dyDescent="0.35">
      <c r="H222" s="5" t="s">
        <v>200</v>
      </c>
      <c r="I222" s="11">
        <v>6</v>
      </c>
    </row>
    <row r="223" spans="8:12" x14ac:dyDescent="0.35">
      <c r="H223" s="5" t="s">
        <v>319</v>
      </c>
      <c r="I223" s="11">
        <v>3</v>
      </c>
    </row>
    <row r="224" spans="8:12" x14ac:dyDescent="0.35">
      <c r="H224" s="5" t="s">
        <v>79</v>
      </c>
      <c r="I224" s="11">
        <v>5.24</v>
      </c>
    </row>
    <row r="225" spans="8:9" x14ac:dyDescent="0.35">
      <c r="H225" s="5" t="s">
        <v>275</v>
      </c>
      <c r="I225" s="11">
        <v>4.8000000000000007</v>
      </c>
    </row>
    <row r="226" spans="8:9" x14ac:dyDescent="0.35">
      <c r="H226" s="5" t="s">
        <v>739</v>
      </c>
      <c r="I226" s="11">
        <v>1</v>
      </c>
    </row>
    <row r="227" spans="8:9" x14ac:dyDescent="0.35">
      <c r="H227" s="5" t="s">
        <v>127</v>
      </c>
      <c r="I227" s="11">
        <v>4.4000000000000004</v>
      </c>
    </row>
    <row r="228" spans="8:9" x14ac:dyDescent="0.35">
      <c r="H228" s="5" t="s">
        <v>439</v>
      </c>
      <c r="I228" s="11">
        <v>1.6</v>
      </c>
    </row>
    <row r="229" spans="8:9" x14ac:dyDescent="0.35">
      <c r="H229" s="5" t="s">
        <v>464</v>
      </c>
      <c r="I229" s="11">
        <v>0</v>
      </c>
    </row>
    <row r="230" spans="8:9" x14ac:dyDescent="0.35">
      <c r="H230" s="5" t="s">
        <v>665</v>
      </c>
      <c r="I230" s="11">
        <v>5.8</v>
      </c>
    </row>
    <row r="231" spans="8:9" x14ac:dyDescent="0.35">
      <c r="H231" s="5" t="s">
        <v>605</v>
      </c>
      <c r="I231" s="11">
        <v>5.9</v>
      </c>
    </row>
    <row r="232" spans="8:9" x14ac:dyDescent="0.35">
      <c r="H232" s="5" t="s">
        <v>521</v>
      </c>
      <c r="I232" s="11">
        <v>0.1</v>
      </c>
    </row>
    <row r="233" spans="8:9" x14ac:dyDescent="0.35">
      <c r="H233" s="5" t="s">
        <v>75</v>
      </c>
      <c r="I233" s="11">
        <v>5.9666666666666659</v>
      </c>
    </row>
    <row r="234" spans="8:9" x14ac:dyDescent="0.35">
      <c r="H234" s="5" t="s">
        <v>140</v>
      </c>
      <c r="I234" s="11">
        <v>2.7</v>
      </c>
    </row>
    <row r="235" spans="8:9" x14ac:dyDescent="0.35">
      <c r="H235" s="5" t="s">
        <v>711</v>
      </c>
      <c r="I235" s="11">
        <v>13.4</v>
      </c>
    </row>
    <row r="236" spans="8:9" x14ac:dyDescent="0.35">
      <c r="H236" s="5" t="s">
        <v>564</v>
      </c>
      <c r="I236" s="11"/>
    </row>
    <row r="237" spans="8:9" x14ac:dyDescent="0.35">
      <c r="H237" s="5" t="s">
        <v>174</v>
      </c>
      <c r="I237" s="11">
        <v>1.2</v>
      </c>
    </row>
    <row r="238" spans="8:9" x14ac:dyDescent="0.35">
      <c r="H238" s="5" t="s">
        <v>105</v>
      </c>
      <c r="I238" s="11">
        <v>5.9</v>
      </c>
    </row>
    <row r="239" spans="8:9" x14ac:dyDescent="0.35">
      <c r="H239" s="5" t="s">
        <v>192</v>
      </c>
      <c r="I239" s="11">
        <v>2.8</v>
      </c>
    </row>
    <row r="240" spans="8:9" x14ac:dyDescent="0.35">
      <c r="H240" s="5" t="s">
        <v>278</v>
      </c>
      <c r="I240" s="11">
        <v>1.95</v>
      </c>
    </row>
    <row r="241" spans="8:9" x14ac:dyDescent="0.35">
      <c r="H241" s="5" t="s">
        <v>284</v>
      </c>
      <c r="I241" s="11">
        <v>5.6499999999999995</v>
      </c>
    </row>
    <row r="242" spans="8:9" x14ac:dyDescent="0.35">
      <c r="H242" s="5" t="s">
        <v>281</v>
      </c>
      <c r="I242" s="11">
        <v>1.8</v>
      </c>
    </row>
    <row r="243" spans="8:9" x14ac:dyDescent="0.35">
      <c r="H243" s="5" t="s">
        <v>402</v>
      </c>
      <c r="I243" s="11">
        <v>9.6</v>
      </c>
    </row>
    <row r="244" spans="8:9" x14ac:dyDescent="0.35">
      <c r="H244" s="5" t="s">
        <v>310</v>
      </c>
      <c r="I244" s="11">
        <v>4.6000000000000005</v>
      </c>
    </row>
    <row r="245" spans="8:9" x14ac:dyDescent="0.35">
      <c r="H245" s="5" t="s">
        <v>255</v>
      </c>
      <c r="I245" s="11">
        <v>7.2</v>
      </c>
    </row>
    <row r="246" spans="8:9" x14ac:dyDescent="0.35">
      <c r="H246" s="5" t="s">
        <v>153</v>
      </c>
      <c r="I246" s="11">
        <v>7.1333333333333329</v>
      </c>
    </row>
    <row r="247" spans="8:9" x14ac:dyDescent="0.35">
      <c r="H247" s="5" t="s">
        <v>248</v>
      </c>
      <c r="I247" s="11">
        <v>2.8</v>
      </c>
    </row>
    <row r="248" spans="8:9" x14ac:dyDescent="0.35">
      <c r="H248" s="5" t="s">
        <v>559</v>
      </c>
      <c r="I248" s="11">
        <v>2.7</v>
      </c>
    </row>
    <row r="249" spans="8:9" x14ac:dyDescent="0.35">
      <c r="H249" s="5" t="s">
        <v>165</v>
      </c>
      <c r="I249" s="11">
        <v>5.8</v>
      </c>
    </row>
    <row r="250" spans="8:9" x14ac:dyDescent="0.35">
      <c r="H250" s="5" t="s">
        <v>63</v>
      </c>
      <c r="I250" s="11">
        <v>3.2</v>
      </c>
    </row>
    <row r="251" spans="8:9" x14ac:dyDescent="0.35">
      <c r="H251" s="5" t="s">
        <v>188</v>
      </c>
      <c r="I251" s="11">
        <v>3.2</v>
      </c>
    </row>
    <row r="252" spans="8:9" x14ac:dyDescent="0.35">
      <c r="H252" s="5" t="s">
        <v>83</v>
      </c>
      <c r="I252" s="11">
        <v>3.5857142857142854</v>
      </c>
    </row>
    <row r="253" spans="8:9" x14ac:dyDescent="0.35">
      <c r="H253" s="5" t="s">
        <v>570</v>
      </c>
      <c r="I253" s="11">
        <v>3</v>
      </c>
    </row>
    <row r="254" spans="8:9" x14ac:dyDescent="0.35">
      <c r="H254" s="5" t="s">
        <v>307</v>
      </c>
      <c r="I254" s="11">
        <v>4.8</v>
      </c>
    </row>
    <row r="255" spans="8:9" x14ac:dyDescent="0.35">
      <c r="H255" s="5" t="s">
        <v>86</v>
      </c>
      <c r="I255" s="11">
        <v>4.6428571428571432</v>
      </c>
    </row>
    <row r="256" spans="8:9" x14ac:dyDescent="0.35">
      <c r="H256" s="5" t="s">
        <v>671</v>
      </c>
      <c r="I256" s="11">
        <v>2.2000000000000002</v>
      </c>
    </row>
    <row r="257" spans="8:9" x14ac:dyDescent="0.35">
      <c r="H257" s="5" t="s">
        <v>662</v>
      </c>
      <c r="I257" s="11">
        <v>8.4</v>
      </c>
    </row>
    <row r="258" spans="8:9" x14ac:dyDescent="0.35">
      <c r="H258" s="5" t="s">
        <v>492</v>
      </c>
      <c r="I258" s="11">
        <v>5.7</v>
      </c>
    </row>
    <row r="259" spans="8:9" x14ac:dyDescent="0.35">
      <c r="H259" s="5" t="s">
        <v>619</v>
      </c>
      <c r="I259" s="11">
        <v>3.6</v>
      </c>
    </row>
    <row r="260" spans="8:9" x14ac:dyDescent="0.35">
      <c r="H260" s="5" t="s">
        <v>444</v>
      </c>
      <c r="I260" s="11">
        <v>2</v>
      </c>
    </row>
    <row r="261" spans="8:9" x14ac:dyDescent="0.35">
      <c r="H261" s="5" t="s">
        <v>452</v>
      </c>
      <c r="I261" s="11">
        <v>4.8</v>
      </c>
    </row>
    <row r="262" spans="8:9" x14ac:dyDescent="0.35">
      <c r="H262" s="5" t="s">
        <v>754</v>
      </c>
      <c r="I262" s="11">
        <v>6.2384615384615376</v>
      </c>
    </row>
    <row r="263" spans="8:9" x14ac:dyDescent="0.35">
      <c r="H263" s="5" t="s">
        <v>751</v>
      </c>
      <c r="I263" s="11">
        <v>5.8100719424460445</v>
      </c>
    </row>
  </sheetData>
  <pageMargins left="0.7" right="0.7" top="0.75" bottom="0.75" header="0.3" footer="0.3"/>
  <drawing r:id="rId21"/>
  <extLst>
    <ext xmlns:x14="http://schemas.microsoft.com/office/spreadsheetml/2009/9/main" uri="{A8765BA9-456A-4dab-B4F3-ACF838C121DE}">
      <x14:slicerList>
        <x14:slicer r:id="rId2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B3CF6-8C3A-473D-B932-BB3F30168474}">
  <dimension ref="A1:S33"/>
  <sheetViews>
    <sheetView topLeftCell="A3" zoomScale="73" workbookViewId="0">
      <selection activeCell="U18" sqref="U18"/>
    </sheetView>
  </sheetViews>
  <sheetFormatPr defaultRowHeight="14.5" x14ac:dyDescent="0.35"/>
  <sheetData>
    <row r="1" spans="1:19" x14ac:dyDescent="0.35">
      <c r="A1" s="13"/>
      <c r="B1" s="13"/>
      <c r="C1" s="13"/>
      <c r="D1" s="13"/>
      <c r="E1" s="13"/>
      <c r="F1" s="13"/>
      <c r="G1" s="13"/>
      <c r="H1" s="13"/>
      <c r="I1" s="13"/>
      <c r="J1" s="13"/>
      <c r="K1" s="13"/>
      <c r="L1" s="13"/>
      <c r="M1" s="13"/>
      <c r="N1" s="13"/>
      <c r="O1" s="13"/>
      <c r="P1" s="13"/>
      <c r="Q1" s="13"/>
      <c r="R1" s="13"/>
      <c r="S1" s="13"/>
    </row>
    <row r="2" spans="1:19" x14ac:dyDescent="0.35">
      <c r="A2" s="13"/>
      <c r="B2" s="13"/>
      <c r="C2" s="13"/>
      <c r="D2" s="13"/>
      <c r="E2" s="13"/>
      <c r="F2" s="13"/>
      <c r="G2" s="13"/>
      <c r="H2" s="13"/>
      <c r="I2" s="13"/>
      <c r="J2" s="13"/>
      <c r="K2" s="13"/>
      <c r="L2" s="13"/>
      <c r="M2" s="13"/>
      <c r="N2" s="13"/>
      <c r="O2" s="13"/>
      <c r="P2" s="13"/>
      <c r="Q2" s="13"/>
      <c r="R2" s="13"/>
      <c r="S2" s="13"/>
    </row>
    <row r="3" spans="1:19" ht="28.5" x14ac:dyDescent="0.65">
      <c r="A3" s="13"/>
      <c r="B3" s="13"/>
      <c r="C3" s="13"/>
      <c r="D3" s="13"/>
      <c r="E3" s="13"/>
      <c r="F3" s="13"/>
      <c r="G3" s="22" t="s">
        <v>777</v>
      </c>
      <c r="H3" s="13"/>
      <c r="I3" s="13"/>
      <c r="J3" s="13"/>
      <c r="K3" s="13"/>
      <c r="L3" s="13"/>
      <c r="M3" s="13"/>
      <c r="N3" s="13"/>
      <c r="O3" s="13"/>
      <c r="P3" s="13"/>
      <c r="Q3" s="13"/>
      <c r="R3" s="13"/>
      <c r="S3" s="13"/>
    </row>
    <row r="4" spans="1:19" x14ac:dyDescent="0.35">
      <c r="A4" s="13"/>
      <c r="B4" s="13"/>
      <c r="C4" s="13"/>
      <c r="D4" s="13"/>
      <c r="E4" s="13"/>
      <c r="F4" s="13"/>
      <c r="G4" s="13"/>
      <c r="H4" s="13"/>
      <c r="I4" s="13"/>
      <c r="J4" s="13"/>
      <c r="K4" s="13"/>
      <c r="L4" s="13"/>
      <c r="M4" s="13"/>
      <c r="N4" s="13"/>
      <c r="O4" s="13"/>
      <c r="P4" s="13"/>
      <c r="Q4" s="13"/>
      <c r="R4" s="13"/>
      <c r="S4" s="13"/>
    </row>
    <row r="5" spans="1:19" x14ac:dyDescent="0.35">
      <c r="A5" s="13"/>
      <c r="B5" s="13"/>
      <c r="C5" s="13"/>
      <c r="D5" s="13"/>
      <c r="E5" s="13"/>
      <c r="F5" s="13"/>
      <c r="G5" s="13"/>
      <c r="H5" s="13"/>
      <c r="I5" s="13"/>
      <c r="J5" s="13"/>
      <c r="K5" s="13"/>
      <c r="L5" s="13"/>
      <c r="M5" s="13"/>
      <c r="N5" s="13"/>
      <c r="O5" s="13"/>
      <c r="P5" s="13"/>
      <c r="Q5" s="13"/>
      <c r="R5" s="13"/>
      <c r="S5" s="13"/>
    </row>
    <row r="6" spans="1:19" x14ac:dyDescent="0.35">
      <c r="A6" s="13"/>
      <c r="B6" s="13"/>
      <c r="C6" s="13"/>
      <c r="D6" s="13"/>
      <c r="E6" s="13"/>
      <c r="F6" s="13"/>
      <c r="G6" s="13"/>
      <c r="H6" s="13"/>
      <c r="I6" s="13"/>
      <c r="J6" s="13"/>
      <c r="K6" s="13"/>
      <c r="L6" s="13"/>
      <c r="M6" s="13"/>
      <c r="N6" s="13"/>
      <c r="O6" s="13"/>
      <c r="P6" s="13"/>
      <c r="Q6" s="13"/>
      <c r="R6" s="13"/>
      <c r="S6" s="13"/>
    </row>
    <row r="7" spans="1:19" x14ac:dyDescent="0.35">
      <c r="A7" s="13"/>
      <c r="B7" s="13"/>
      <c r="C7" s="13"/>
      <c r="D7" s="13"/>
      <c r="E7" s="13"/>
      <c r="F7" s="13"/>
      <c r="G7" s="13"/>
      <c r="H7" s="13"/>
      <c r="I7" s="13"/>
      <c r="J7" s="13"/>
      <c r="K7" s="13"/>
      <c r="L7" s="13"/>
      <c r="M7" s="13"/>
      <c r="N7" s="13"/>
      <c r="O7" s="13"/>
      <c r="P7" s="13"/>
      <c r="Q7" s="13"/>
      <c r="R7" s="13"/>
      <c r="S7" s="13"/>
    </row>
    <row r="8" spans="1:19" x14ac:dyDescent="0.35">
      <c r="A8" s="13"/>
      <c r="B8" s="13"/>
      <c r="C8" s="13"/>
      <c r="D8" s="13"/>
      <c r="E8" s="13"/>
      <c r="F8" s="13"/>
      <c r="G8" s="13"/>
      <c r="H8" s="13"/>
      <c r="I8" s="13"/>
      <c r="J8" s="13"/>
      <c r="K8" s="13"/>
      <c r="L8" s="13"/>
      <c r="M8" s="13"/>
      <c r="N8" s="13"/>
      <c r="O8" s="13"/>
      <c r="P8" s="13"/>
      <c r="Q8" s="13"/>
      <c r="R8" s="13"/>
      <c r="S8" s="13"/>
    </row>
    <row r="9" spans="1:19" x14ac:dyDescent="0.35">
      <c r="A9" s="13"/>
      <c r="B9" s="13"/>
      <c r="C9" s="13"/>
      <c r="D9" s="13"/>
      <c r="E9" s="13"/>
      <c r="F9" s="13"/>
      <c r="G9" s="13"/>
      <c r="H9" s="13"/>
      <c r="I9" s="13"/>
      <c r="J9" s="13"/>
      <c r="K9" s="13"/>
      <c r="L9" s="13"/>
      <c r="M9" s="13"/>
      <c r="N9" s="13"/>
      <c r="O9" s="13"/>
      <c r="P9" s="13"/>
      <c r="Q9" s="13"/>
      <c r="R9" s="13"/>
      <c r="S9" s="13"/>
    </row>
    <row r="10" spans="1:19" x14ac:dyDescent="0.35">
      <c r="A10" s="13"/>
      <c r="B10" s="13"/>
      <c r="C10" s="13"/>
      <c r="D10" s="13"/>
      <c r="E10" s="13"/>
      <c r="F10" s="13"/>
      <c r="G10" s="13"/>
      <c r="H10" s="13"/>
      <c r="I10" s="13"/>
      <c r="J10" s="13"/>
      <c r="K10" s="13"/>
      <c r="L10" s="13"/>
      <c r="M10" s="13"/>
      <c r="N10" s="13"/>
      <c r="O10" s="13"/>
      <c r="P10" s="13"/>
      <c r="Q10" s="13"/>
      <c r="R10" s="13"/>
      <c r="S10" s="13"/>
    </row>
    <row r="11" spans="1:19" x14ac:dyDescent="0.35">
      <c r="A11" s="13"/>
      <c r="B11" s="13"/>
      <c r="C11" s="13"/>
      <c r="D11" s="13"/>
      <c r="E11" s="13"/>
      <c r="F11" s="13"/>
      <c r="G11" s="13"/>
      <c r="H11" s="13"/>
      <c r="I11" s="13"/>
      <c r="J11" s="13"/>
      <c r="K11" s="13"/>
      <c r="L11" s="13"/>
      <c r="M11" s="13"/>
      <c r="N11" s="13"/>
      <c r="O11" s="13"/>
      <c r="P11" s="13"/>
      <c r="Q11" s="13"/>
      <c r="R11" s="13"/>
      <c r="S11" s="13"/>
    </row>
    <row r="12" spans="1:19" x14ac:dyDescent="0.35">
      <c r="A12" s="13"/>
      <c r="B12" s="13"/>
      <c r="C12" s="13"/>
      <c r="D12" s="13"/>
      <c r="E12" s="13"/>
      <c r="F12" s="13"/>
      <c r="G12" s="13"/>
      <c r="H12" s="13"/>
      <c r="I12" s="13"/>
      <c r="J12" s="13"/>
      <c r="K12" s="13"/>
      <c r="L12" s="13"/>
      <c r="M12" s="13"/>
      <c r="N12" s="13"/>
      <c r="O12" s="13"/>
      <c r="P12" s="13"/>
      <c r="Q12" s="13"/>
      <c r="R12" s="13"/>
      <c r="S12" s="13"/>
    </row>
    <row r="13" spans="1:19" x14ac:dyDescent="0.35">
      <c r="A13" s="13"/>
      <c r="B13" s="13"/>
      <c r="C13" s="13"/>
      <c r="D13" s="13"/>
      <c r="E13" s="13"/>
      <c r="F13" s="13"/>
      <c r="G13" s="13"/>
      <c r="H13" s="13"/>
      <c r="I13" s="13"/>
      <c r="J13" s="13"/>
      <c r="K13" s="13"/>
      <c r="L13" s="13"/>
      <c r="M13" s="13"/>
      <c r="N13" s="13"/>
      <c r="O13" s="13"/>
      <c r="P13" s="13"/>
      <c r="Q13" s="13"/>
      <c r="R13" s="13"/>
      <c r="S13" s="13"/>
    </row>
    <row r="14" spans="1:19" x14ac:dyDescent="0.35">
      <c r="A14" s="13"/>
      <c r="B14" s="13"/>
      <c r="C14" s="13"/>
      <c r="D14" s="13"/>
      <c r="E14" s="13"/>
      <c r="F14" s="13"/>
      <c r="G14" s="13"/>
      <c r="H14" s="13"/>
      <c r="I14" s="13"/>
      <c r="J14" s="13"/>
      <c r="K14" s="13"/>
      <c r="L14" s="13"/>
      <c r="M14" s="13"/>
      <c r="N14" s="13"/>
      <c r="O14" s="13"/>
      <c r="P14" s="13"/>
      <c r="Q14" s="13"/>
      <c r="R14" s="13"/>
      <c r="S14" s="13"/>
    </row>
    <row r="15" spans="1:19" x14ac:dyDescent="0.35">
      <c r="A15" s="13"/>
      <c r="B15" s="13"/>
      <c r="C15" s="13"/>
      <c r="D15" s="13"/>
      <c r="E15" s="13"/>
      <c r="F15" s="13"/>
      <c r="G15" s="13"/>
      <c r="H15" s="13"/>
      <c r="I15" s="13"/>
      <c r="J15" s="13"/>
      <c r="K15" s="13"/>
      <c r="L15" s="13"/>
      <c r="M15" s="13"/>
      <c r="N15" s="13"/>
      <c r="O15" s="13"/>
      <c r="P15" s="13"/>
      <c r="Q15" s="13"/>
      <c r="R15" s="13"/>
      <c r="S15" s="13"/>
    </row>
    <row r="16" spans="1:19" x14ac:dyDescent="0.35">
      <c r="A16" s="13"/>
      <c r="B16" s="13"/>
      <c r="C16" s="13"/>
      <c r="D16" s="13"/>
      <c r="E16" s="13"/>
      <c r="F16" s="13"/>
      <c r="G16" s="13"/>
      <c r="H16" s="13"/>
      <c r="I16" s="13"/>
      <c r="J16" s="13"/>
      <c r="K16" s="13"/>
      <c r="L16" s="13"/>
      <c r="M16" s="13"/>
      <c r="N16" s="13"/>
      <c r="O16" s="13"/>
      <c r="P16" s="13"/>
      <c r="Q16" s="13"/>
      <c r="R16" s="13"/>
      <c r="S16" s="13"/>
    </row>
    <row r="17" spans="1:19" x14ac:dyDescent="0.35">
      <c r="A17" s="13"/>
      <c r="B17" s="13"/>
      <c r="C17" s="13"/>
      <c r="D17" s="13"/>
      <c r="E17" s="13"/>
      <c r="F17" s="13"/>
      <c r="G17" s="13"/>
      <c r="H17" s="13"/>
      <c r="I17" s="13"/>
      <c r="J17" s="13"/>
      <c r="K17" s="13"/>
      <c r="L17" s="13"/>
      <c r="M17" s="13"/>
      <c r="N17" s="13"/>
      <c r="O17" s="13"/>
      <c r="P17" s="13"/>
      <c r="Q17" s="13"/>
      <c r="R17" s="13"/>
      <c r="S17" s="13"/>
    </row>
    <row r="18" spans="1:19" x14ac:dyDescent="0.35">
      <c r="A18" s="13"/>
      <c r="B18" s="13"/>
      <c r="C18" s="13"/>
      <c r="D18" s="13"/>
      <c r="E18" s="13"/>
      <c r="F18" s="13"/>
      <c r="G18" s="13"/>
      <c r="H18" s="13"/>
      <c r="I18" s="13"/>
      <c r="J18" s="13"/>
      <c r="K18" s="13"/>
      <c r="L18" s="13"/>
      <c r="M18" s="13"/>
      <c r="N18" s="13"/>
      <c r="O18" s="13"/>
      <c r="P18" s="13"/>
      <c r="Q18" s="13"/>
      <c r="R18" s="13"/>
      <c r="S18" s="13"/>
    </row>
    <row r="19" spans="1:19" x14ac:dyDescent="0.35">
      <c r="A19" s="13"/>
      <c r="B19" s="13"/>
      <c r="C19" s="13"/>
      <c r="D19" s="13"/>
      <c r="E19" s="13"/>
      <c r="F19" s="13"/>
      <c r="G19" s="13"/>
      <c r="H19" s="13"/>
      <c r="I19" s="13"/>
      <c r="J19" s="13"/>
      <c r="K19" s="13"/>
      <c r="L19" s="13"/>
      <c r="M19" s="13"/>
      <c r="N19" s="13"/>
      <c r="O19" s="13"/>
      <c r="P19" s="13"/>
      <c r="Q19" s="13"/>
      <c r="R19" s="13"/>
      <c r="S19" s="13"/>
    </row>
    <row r="20" spans="1:19" x14ac:dyDescent="0.35">
      <c r="A20" s="13"/>
      <c r="B20" s="13"/>
      <c r="C20" s="13"/>
      <c r="D20" s="13"/>
      <c r="E20" s="13"/>
      <c r="F20" s="13"/>
      <c r="G20" s="13"/>
      <c r="H20" s="13"/>
      <c r="I20" s="13"/>
      <c r="J20" s="13"/>
      <c r="K20" s="13"/>
      <c r="L20" s="13"/>
      <c r="M20" s="13"/>
      <c r="N20" s="13"/>
      <c r="O20" s="13"/>
      <c r="P20" s="13"/>
      <c r="Q20" s="13"/>
      <c r="R20" s="13"/>
      <c r="S20" s="13"/>
    </row>
    <row r="21" spans="1:19" x14ac:dyDescent="0.35">
      <c r="A21" s="13"/>
      <c r="B21" s="13"/>
      <c r="C21" s="13"/>
      <c r="D21" s="13"/>
      <c r="E21" s="13"/>
      <c r="F21" s="13"/>
      <c r="G21" s="13"/>
      <c r="H21" s="13"/>
      <c r="I21" s="13"/>
      <c r="J21" s="13"/>
      <c r="K21" s="13"/>
      <c r="L21" s="13"/>
      <c r="M21" s="13"/>
      <c r="N21" s="13"/>
      <c r="O21" s="13"/>
      <c r="P21" s="13"/>
      <c r="Q21" s="13"/>
      <c r="R21" s="13"/>
      <c r="S21" s="13"/>
    </row>
    <row r="22" spans="1:19" x14ac:dyDescent="0.35">
      <c r="A22" s="13"/>
      <c r="B22" s="13"/>
      <c r="C22" s="13"/>
      <c r="D22" s="13"/>
      <c r="E22" s="13"/>
      <c r="F22" s="13"/>
      <c r="G22" s="13"/>
      <c r="H22" s="13"/>
      <c r="I22" s="13"/>
      <c r="J22" s="13"/>
      <c r="K22" s="13"/>
      <c r="L22" s="13"/>
      <c r="M22" s="13"/>
      <c r="N22" s="13"/>
      <c r="O22" s="13"/>
      <c r="P22" s="13"/>
      <c r="Q22" s="13"/>
      <c r="R22" s="13"/>
      <c r="S22" s="13"/>
    </row>
    <row r="23" spans="1:19" x14ac:dyDescent="0.35">
      <c r="A23" s="13"/>
      <c r="B23" s="13"/>
      <c r="C23" s="13"/>
      <c r="D23" s="13"/>
      <c r="E23" s="13"/>
      <c r="F23" s="13"/>
      <c r="G23" s="13"/>
      <c r="H23" s="13"/>
      <c r="I23" s="13"/>
      <c r="J23" s="13"/>
      <c r="K23" s="13"/>
      <c r="L23" s="13"/>
      <c r="M23" s="13"/>
      <c r="N23" s="13"/>
      <c r="O23" s="13"/>
      <c r="P23" s="13"/>
      <c r="Q23" s="13"/>
      <c r="R23" s="13"/>
      <c r="S23" s="13"/>
    </row>
    <row r="24" spans="1:19" x14ac:dyDescent="0.35">
      <c r="A24" s="13"/>
      <c r="B24" s="13"/>
      <c r="C24" s="13"/>
      <c r="D24" s="13"/>
      <c r="E24" s="13"/>
      <c r="F24" s="13"/>
      <c r="G24" s="13"/>
      <c r="H24" s="13"/>
      <c r="I24" s="13"/>
      <c r="J24" s="13"/>
      <c r="K24" s="13"/>
      <c r="L24" s="13"/>
      <c r="M24" s="13"/>
      <c r="N24" s="13"/>
      <c r="O24" s="13"/>
      <c r="P24" s="13"/>
      <c r="Q24" s="13"/>
      <c r="R24" s="13"/>
      <c r="S24" s="13"/>
    </row>
    <row r="25" spans="1:19" x14ac:dyDescent="0.35">
      <c r="A25" s="13"/>
      <c r="B25" s="13"/>
      <c r="C25" s="13"/>
      <c r="D25" s="13"/>
      <c r="E25" s="13"/>
      <c r="F25" s="13"/>
      <c r="G25" s="13"/>
      <c r="H25" s="13"/>
      <c r="I25" s="13"/>
      <c r="J25" s="13"/>
      <c r="K25" s="13"/>
      <c r="L25" s="13"/>
      <c r="M25" s="13"/>
      <c r="N25" s="13"/>
      <c r="O25" s="13"/>
      <c r="P25" s="13"/>
      <c r="Q25" s="13"/>
      <c r="R25" s="13"/>
      <c r="S25" s="13"/>
    </row>
    <row r="26" spans="1:19" x14ac:dyDescent="0.35">
      <c r="A26" s="13"/>
      <c r="B26" s="13"/>
      <c r="C26" s="13"/>
      <c r="D26" s="13"/>
      <c r="E26" s="13"/>
      <c r="F26" s="13"/>
      <c r="G26" s="13"/>
      <c r="H26" s="13"/>
      <c r="I26" s="13"/>
      <c r="J26" s="13"/>
      <c r="K26" s="13"/>
      <c r="L26" s="13"/>
      <c r="M26" s="13"/>
      <c r="N26" s="13"/>
      <c r="O26" s="13"/>
      <c r="P26" s="13"/>
      <c r="Q26" s="13"/>
      <c r="R26" s="13"/>
      <c r="S26" s="13"/>
    </row>
    <row r="27" spans="1:19" x14ac:dyDescent="0.35">
      <c r="A27" s="13"/>
      <c r="B27" s="13"/>
      <c r="C27" s="13"/>
      <c r="D27" s="13"/>
      <c r="E27" s="13"/>
      <c r="F27" s="13"/>
      <c r="G27" s="13"/>
      <c r="H27" s="13"/>
      <c r="I27" s="13"/>
      <c r="J27" s="13"/>
      <c r="K27" s="13"/>
      <c r="L27" s="13"/>
      <c r="M27" s="13"/>
      <c r="N27" s="13"/>
      <c r="O27" s="13"/>
      <c r="P27" s="13"/>
      <c r="Q27" s="13"/>
      <c r="R27" s="13"/>
      <c r="S27" s="13"/>
    </row>
    <row r="28" spans="1:19" x14ac:dyDescent="0.35">
      <c r="A28" s="13"/>
      <c r="B28" s="13"/>
      <c r="C28" s="13"/>
      <c r="D28" s="13"/>
      <c r="E28" s="13"/>
      <c r="F28" s="13"/>
      <c r="G28" s="13"/>
      <c r="H28" s="13"/>
      <c r="I28" s="13"/>
      <c r="J28" s="13"/>
      <c r="K28" s="13"/>
      <c r="L28" s="13"/>
      <c r="M28" s="13"/>
      <c r="N28" s="13"/>
      <c r="O28" s="13"/>
      <c r="P28" s="13"/>
      <c r="Q28" s="13"/>
      <c r="R28" s="13"/>
      <c r="S28" s="13"/>
    </row>
    <row r="29" spans="1:19" x14ac:dyDescent="0.35">
      <c r="A29" s="13"/>
      <c r="B29" s="13"/>
      <c r="C29" s="13"/>
      <c r="D29" s="13"/>
      <c r="E29" s="13"/>
      <c r="F29" s="13"/>
      <c r="G29" s="13"/>
      <c r="H29" s="13"/>
      <c r="I29" s="13"/>
      <c r="J29" s="13"/>
      <c r="K29" s="13"/>
      <c r="L29" s="13"/>
      <c r="M29" s="13"/>
      <c r="N29" s="13"/>
      <c r="O29" s="13"/>
      <c r="P29" s="13"/>
      <c r="Q29" s="13"/>
      <c r="R29" s="13"/>
      <c r="S29" s="13"/>
    </row>
    <row r="30" spans="1:19" x14ac:dyDescent="0.35">
      <c r="A30" s="13"/>
      <c r="B30" s="13"/>
      <c r="C30" s="13"/>
      <c r="D30" s="13"/>
      <c r="E30" s="13"/>
      <c r="F30" s="13"/>
      <c r="G30" s="13"/>
      <c r="H30" s="13"/>
      <c r="I30" s="13"/>
      <c r="J30" s="13"/>
      <c r="K30" s="13"/>
      <c r="L30" s="13"/>
      <c r="M30" s="13"/>
      <c r="N30" s="13"/>
      <c r="O30" s="13"/>
      <c r="P30" s="13"/>
      <c r="Q30" s="13"/>
      <c r="R30" s="13"/>
      <c r="S30" s="13"/>
    </row>
    <row r="31" spans="1:19" x14ac:dyDescent="0.35">
      <c r="A31" s="13"/>
      <c r="B31" s="13"/>
      <c r="C31" s="13"/>
      <c r="D31" s="13"/>
      <c r="E31" s="13"/>
      <c r="F31" s="13"/>
      <c r="G31" s="13"/>
      <c r="H31" s="13"/>
      <c r="I31" s="13"/>
      <c r="J31" s="13"/>
      <c r="K31" s="13"/>
      <c r="L31" s="13"/>
      <c r="M31" s="13"/>
      <c r="N31" s="13"/>
      <c r="O31" s="13"/>
      <c r="P31" s="13"/>
      <c r="Q31" s="13"/>
      <c r="R31" s="13"/>
      <c r="S31" s="13"/>
    </row>
    <row r="32" spans="1:19" x14ac:dyDescent="0.35">
      <c r="A32" s="13"/>
      <c r="B32" s="13"/>
      <c r="C32" s="13"/>
      <c r="D32" s="13"/>
      <c r="E32" s="13"/>
      <c r="F32" s="13"/>
      <c r="G32" s="13"/>
      <c r="H32" s="13"/>
      <c r="I32" s="13"/>
      <c r="J32" s="13"/>
      <c r="K32" s="13"/>
      <c r="L32" s="13"/>
      <c r="M32" s="13"/>
      <c r="N32" s="13"/>
      <c r="O32" s="13"/>
      <c r="P32" s="13"/>
      <c r="Q32" s="13"/>
      <c r="R32" s="13"/>
      <c r="S32" s="13"/>
    </row>
    <row r="33" spans="1:19" x14ac:dyDescent="0.35">
      <c r="A33" s="13"/>
      <c r="B33" s="13"/>
      <c r="C33" s="13"/>
      <c r="D33" s="13"/>
      <c r="E33" s="13"/>
      <c r="F33" s="13"/>
      <c r="G33" s="13"/>
      <c r="H33" s="13"/>
      <c r="I33" s="13"/>
      <c r="J33" s="13"/>
      <c r="K33" s="13"/>
      <c r="L33" s="13"/>
      <c r="M33" s="13"/>
      <c r="N33" s="13"/>
      <c r="O33" s="13"/>
      <c r="P33" s="13"/>
      <c r="Q33" s="13"/>
      <c r="R33" s="13"/>
      <c r="S33"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A0624-867F-49A3-8E28-800D95308619}">
  <dimension ref="A1:S33"/>
  <sheetViews>
    <sheetView topLeftCell="C8" zoomScale="80" zoomScaleNormal="98" workbookViewId="0">
      <selection activeCell="P2" sqref="P2"/>
    </sheetView>
  </sheetViews>
  <sheetFormatPr defaultRowHeight="14.5" x14ac:dyDescent="0.35"/>
  <sheetData>
    <row r="1" spans="1:19" x14ac:dyDescent="0.35">
      <c r="A1" s="13"/>
      <c r="B1" s="13"/>
      <c r="C1" s="13"/>
      <c r="D1" s="13"/>
      <c r="E1" s="13"/>
      <c r="F1" s="13"/>
      <c r="G1" s="13"/>
      <c r="H1" s="13"/>
      <c r="I1" s="13"/>
      <c r="J1" s="13"/>
      <c r="K1" s="13"/>
      <c r="L1" s="13"/>
      <c r="M1" s="13"/>
      <c r="N1" s="13"/>
      <c r="O1" s="13"/>
      <c r="P1" s="13"/>
      <c r="Q1" s="13"/>
      <c r="R1" s="13"/>
      <c r="S1" s="13"/>
    </row>
    <row r="2" spans="1:19" ht="23.5" x14ac:dyDescent="0.55000000000000004">
      <c r="A2" s="13"/>
      <c r="B2" s="13"/>
      <c r="C2" s="13"/>
      <c r="D2" s="13"/>
      <c r="E2" s="13"/>
      <c r="F2" s="13"/>
      <c r="G2" s="13"/>
      <c r="H2" s="13"/>
      <c r="I2" s="18" t="s">
        <v>776</v>
      </c>
      <c r="J2" s="13"/>
      <c r="K2" s="13"/>
      <c r="L2" s="13"/>
      <c r="M2" s="13"/>
      <c r="N2" s="13"/>
      <c r="O2" s="13"/>
      <c r="P2" s="13"/>
      <c r="Q2" s="13"/>
      <c r="R2" s="13"/>
      <c r="S2" s="13"/>
    </row>
    <row r="3" spans="1:19" x14ac:dyDescent="0.35">
      <c r="A3" s="13"/>
      <c r="B3" s="13"/>
      <c r="C3" s="13"/>
      <c r="D3" s="13"/>
      <c r="E3" s="13"/>
      <c r="F3" s="13"/>
      <c r="G3" s="13"/>
      <c r="H3" s="13"/>
      <c r="I3" s="13"/>
      <c r="J3" s="13"/>
      <c r="K3" s="13"/>
      <c r="L3" s="13"/>
      <c r="M3" s="13"/>
      <c r="N3" s="13"/>
      <c r="O3" s="13"/>
      <c r="P3" s="13"/>
      <c r="Q3" s="13"/>
      <c r="R3" s="13"/>
      <c r="S3" s="13"/>
    </row>
    <row r="4" spans="1:19" x14ac:dyDescent="0.35">
      <c r="A4" s="13"/>
      <c r="B4" s="13"/>
      <c r="C4" s="13"/>
      <c r="D4" s="13"/>
      <c r="E4" s="13"/>
      <c r="F4" s="13"/>
      <c r="G4" s="13"/>
      <c r="H4" s="13"/>
      <c r="I4" s="13"/>
      <c r="J4" s="13"/>
      <c r="K4" s="13"/>
      <c r="L4" s="13"/>
      <c r="M4" s="13"/>
      <c r="N4" s="13"/>
      <c r="O4" s="13"/>
      <c r="P4" s="13"/>
      <c r="Q4" s="13"/>
      <c r="R4" s="13"/>
      <c r="S4" s="13"/>
    </row>
    <row r="5" spans="1:19" x14ac:dyDescent="0.35">
      <c r="A5" s="13"/>
      <c r="B5" s="13"/>
      <c r="C5" s="13"/>
      <c r="D5" s="13"/>
      <c r="E5" s="13"/>
      <c r="F5" s="13"/>
      <c r="G5" s="13"/>
      <c r="H5" s="13"/>
      <c r="I5" s="13"/>
      <c r="J5" s="13"/>
      <c r="K5" s="13"/>
      <c r="L5" s="13"/>
      <c r="M5" s="13"/>
      <c r="N5" s="13"/>
      <c r="O5" s="13"/>
      <c r="P5" s="13"/>
      <c r="Q5" s="13"/>
      <c r="R5" s="13"/>
      <c r="S5" s="13"/>
    </row>
    <row r="6" spans="1:19" x14ac:dyDescent="0.35">
      <c r="A6" s="13"/>
      <c r="B6" s="13"/>
      <c r="C6" s="13"/>
      <c r="D6" s="13"/>
      <c r="E6" s="13"/>
      <c r="F6" s="13"/>
      <c r="G6" s="13"/>
      <c r="H6" s="13"/>
      <c r="I6" s="13"/>
      <c r="J6" s="13"/>
      <c r="K6" s="13"/>
      <c r="L6" s="13"/>
      <c r="M6" s="13"/>
      <c r="N6" s="13"/>
      <c r="O6" s="13"/>
      <c r="P6" s="13"/>
      <c r="Q6" s="13"/>
      <c r="R6" s="13"/>
      <c r="S6" s="13"/>
    </row>
    <row r="7" spans="1:19" x14ac:dyDescent="0.35">
      <c r="A7" s="13"/>
      <c r="B7" s="13"/>
      <c r="C7" s="13"/>
      <c r="D7" s="13"/>
      <c r="E7" s="13"/>
      <c r="F7" s="13"/>
      <c r="G7" s="13"/>
      <c r="H7" s="13"/>
      <c r="I7" s="13"/>
      <c r="J7" s="13"/>
      <c r="K7" s="13"/>
      <c r="L7" s="13"/>
      <c r="M7" s="13"/>
      <c r="N7" s="13"/>
      <c r="O7" s="13"/>
      <c r="P7" s="13"/>
      <c r="Q7" s="13"/>
      <c r="R7" s="13"/>
      <c r="S7" s="13"/>
    </row>
    <row r="8" spans="1:19" x14ac:dyDescent="0.35">
      <c r="A8" s="13"/>
      <c r="B8" s="13"/>
      <c r="C8" s="13"/>
      <c r="D8" s="13"/>
      <c r="E8" s="13"/>
      <c r="F8" s="13"/>
      <c r="G8" s="13"/>
      <c r="H8" s="13"/>
      <c r="I8" s="13"/>
      <c r="J8" s="13"/>
      <c r="K8" s="13"/>
      <c r="L8" s="13"/>
      <c r="M8" s="13"/>
      <c r="N8" s="13"/>
      <c r="O8" s="13"/>
      <c r="P8" s="13"/>
      <c r="Q8" s="13"/>
      <c r="R8" s="13"/>
      <c r="S8" s="13"/>
    </row>
    <row r="9" spans="1:19" x14ac:dyDescent="0.35">
      <c r="A9" s="13"/>
      <c r="B9" s="13"/>
      <c r="C9" s="13"/>
      <c r="D9" s="13"/>
      <c r="E9" s="13"/>
      <c r="F9" s="13"/>
      <c r="G9" s="13"/>
      <c r="H9" s="13"/>
      <c r="I9" s="13"/>
      <c r="J9" s="13"/>
      <c r="K9" s="13"/>
      <c r="L9" s="13"/>
      <c r="M9" s="13"/>
      <c r="N9" s="13"/>
      <c r="O9" s="13"/>
      <c r="P9" s="13"/>
      <c r="Q9" s="13"/>
      <c r="R9" s="13"/>
      <c r="S9" s="13"/>
    </row>
    <row r="10" spans="1:19" x14ac:dyDescent="0.35">
      <c r="A10" s="13"/>
      <c r="B10" s="13"/>
      <c r="C10" s="13"/>
      <c r="D10" s="13"/>
      <c r="E10" s="13"/>
      <c r="F10" s="13"/>
      <c r="G10" s="13"/>
      <c r="H10" s="13"/>
      <c r="I10" s="13"/>
      <c r="J10" s="13"/>
      <c r="K10" s="13"/>
      <c r="L10" s="13"/>
      <c r="M10" s="13"/>
      <c r="N10" s="13"/>
      <c r="O10" s="13"/>
      <c r="P10" s="13"/>
      <c r="Q10" s="13"/>
      <c r="R10" s="13"/>
      <c r="S10" s="13"/>
    </row>
    <row r="11" spans="1:19" x14ac:dyDescent="0.35">
      <c r="A11" s="13"/>
      <c r="B11" s="13"/>
      <c r="C11" s="13"/>
      <c r="D11" s="13"/>
      <c r="E11" s="13"/>
      <c r="F11" s="13"/>
      <c r="G11" s="13"/>
      <c r="H11" s="13"/>
      <c r="I11" s="13"/>
      <c r="J11" s="13"/>
      <c r="K11" s="13"/>
      <c r="L11" s="13"/>
      <c r="M11" s="13"/>
      <c r="N11" s="13"/>
      <c r="O11" s="13"/>
      <c r="P11" s="13"/>
      <c r="Q11" s="13"/>
      <c r="R11" s="13"/>
      <c r="S11" s="13"/>
    </row>
    <row r="12" spans="1:19" x14ac:dyDescent="0.35">
      <c r="A12" s="13"/>
      <c r="B12" s="13"/>
      <c r="C12" s="13"/>
      <c r="D12" s="13"/>
      <c r="E12" s="13"/>
      <c r="F12" s="13"/>
      <c r="G12" s="13"/>
      <c r="H12" s="13"/>
      <c r="I12" s="13"/>
      <c r="J12" s="13"/>
      <c r="K12" s="13"/>
      <c r="L12" s="13"/>
      <c r="M12" s="13"/>
      <c r="N12" s="13"/>
      <c r="O12" s="13"/>
      <c r="P12" s="13"/>
      <c r="Q12" s="13"/>
      <c r="R12" s="13"/>
      <c r="S12" s="13"/>
    </row>
    <row r="13" spans="1:19" x14ac:dyDescent="0.35">
      <c r="A13" s="13"/>
      <c r="B13" s="13"/>
      <c r="C13" s="13"/>
      <c r="D13" s="13"/>
      <c r="E13" s="13"/>
      <c r="F13" s="13"/>
      <c r="G13" s="13"/>
      <c r="H13" s="13"/>
      <c r="I13" s="13"/>
      <c r="J13" s="13"/>
      <c r="K13" s="13"/>
      <c r="L13" s="13"/>
      <c r="M13" s="13"/>
      <c r="N13" s="13"/>
      <c r="O13" s="13"/>
      <c r="P13" s="13"/>
      <c r="Q13" s="13"/>
      <c r="R13" s="13"/>
      <c r="S13" s="13"/>
    </row>
    <row r="14" spans="1:19" x14ac:dyDescent="0.35">
      <c r="A14" s="13"/>
      <c r="B14" s="13"/>
      <c r="C14" s="13"/>
      <c r="D14" s="13"/>
      <c r="E14" s="13"/>
      <c r="F14" s="13"/>
      <c r="G14" s="13"/>
      <c r="H14" s="13"/>
      <c r="I14" s="13"/>
      <c r="J14" s="13"/>
      <c r="K14" s="13"/>
      <c r="L14" s="13"/>
      <c r="M14" s="13"/>
      <c r="N14" s="13"/>
      <c r="O14" s="13"/>
      <c r="P14" s="13"/>
      <c r="Q14" s="13"/>
      <c r="R14" s="13"/>
      <c r="S14" s="13"/>
    </row>
    <row r="15" spans="1:19" x14ac:dyDescent="0.35">
      <c r="A15" s="13"/>
      <c r="B15" s="13"/>
      <c r="C15" s="13"/>
      <c r="D15" s="13"/>
      <c r="E15" s="13"/>
      <c r="F15" s="13"/>
      <c r="G15" s="13"/>
      <c r="H15" s="13"/>
      <c r="I15" s="13"/>
      <c r="J15" s="13"/>
      <c r="K15" s="13"/>
      <c r="L15" s="13"/>
      <c r="M15" s="13"/>
      <c r="N15" s="13"/>
      <c r="O15" s="13"/>
      <c r="P15" s="13"/>
      <c r="Q15" s="13"/>
      <c r="R15" s="13"/>
      <c r="S15" s="13"/>
    </row>
    <row r="16" spans="1:19" x14ac:dyDescent="0.35">
      <c r="A16" s="13"/>
      <c r="B16" s="13"/>
      <c r="C16" s="13"/>
      <c r="D16" s="13"/>
      <c r="E16" s="13"/>
      <c r="F16" s="13"/>
      <c r="G16" s="13"/>
      <c r="H16" s="13"/>
      <c r="I16" s="13"/>
      <c r="J16" s="13"/>
      <c r="K16" s="13"/>
      <c r="L16" s="13"/>
      <c r="M16" s="13"/>
      <c r="N16" s="13"/>
      <c r="O16" s="13"/>
      <c r="P16" s="13"/>
      <c r="Q16" s="13"/>
      <c r="R16" s="13"/>
      <c r="S16" s="13"/>
    </row>
    <row r="17" spans="1:19" x14ac:dyDescent="0.35">
      <c r="A17" s="13"/>
      <c r="B17" s="13"/>
      <c r="C17" s="13"/>
      <c r="D17" s="13"/>
      <c r="E17" s="13"/>
      <c r="F17" s="13"/>
      <c r="G17" s="13"/>
      <c r="H17" s="13"/>
      <c r="I17" s="13"/>
      <c r="J17" s="13"/>
      <c r="K17" s="13"/>
      <c r="L17" s="13"/>
      <c r="M17" s="13"/>
      <c r="N17" s="13"/>
      <c r="O17" s="13"/>
      <c r="P17" s="13"/>
      <c r="Q17" s="13"/>
      <c r="R17" s="13"/>
      <c r="S17" s="13"/>
    </row>
    <row r="18" spans="1:19" x14ac:dyDescent="0.35">
      <c r="A18" s="13"/>
      <c r="B18" s="13"/>
      <c r="C18" s="13"/>
      <c r="D18" s="13"/>
      <c r="E18" s="13"/>
      <c r="F18" s="13"/>
      <c r="G18" s="13"/>
      <c r="H18" s="13"/>
      <c r="I18" s="13"/>
      <c r="J18" s="13"/>
      <c r="K18" s="13"/>
      <c r="L18" s="13"/>
      <c r="M18" s="13"/>
      <c r="N18" s="13"/>
      <c r="O18" s="13"/>
      <c r="P18" s="13"/>
      <c r="Q18" s="13"/>
      <c r="R18" s="13"/>
      <c r="S18" s="13"/>
    </row>
    <row r="19" spans="1:19" x14ac:dyDescent="0.35">
      <c r="A19" s="13"/>
      <c r="B19" s="13"/>
      <c r="C19" s="13"/>
      <c r="D19" s="13"/>
      <c r="E19" s="13"/>
      <c r="F19" s="13"/>
      <c r="G19" s="13"/>
      <c r="H19" s="13"/>
      <c r="I19" s="13"/>
      <c r="J19" s="13"/>
      <c r="K19" s="13"/>
      <c r="L19" s="13"/>
      <c r="M19" s="13"/>
      <c r="N19" s="13"/>
      <c r="O19" s="13"/>
      <c r="P19" s="13"/>
      <c r="Q19" s="13"/>
      <c r="R19" s="13"/>
      <c r="S19" s="13"/>
    </row>
    <row r="20" spans="1:19" x14ac:dyDescent="0.35">
      <c r="A20" s="13"/>
      <c r="B20" s="13"/>
      <c r="C20" s="13"/>
      <c r="D20" s="13"/>
      <c r="E20" s="13"/>
      <c r="F20" s="13"/>
      <c r="G20" s="13"/>
      <c r="H20" s="13"/>
      <c r="I20" s="13"/>
      <c r="J20" s="13"/>
      <c r="K20" s="13"/>
      <c r="L20" s="13"/>
      <c r="M20" s="13"/>
      <c r="N20" s="13"/>
      <c r="O20" s="13"/>
      <c r="P20" s="13"/>
      <c r="Q20" s="13"/>
      <c r="R20" s="13"/>
      <c r="S20" s="13"/>
    </row>
    <row r="21" spans="1:19" x14ac:dyDescent="0.35">
      <c r="A21" s="13"/>
      <c r="B21" s="13"/>
      <c r="C21" s="13"/>
      <c r="D21" s="13"/>
      <c r="E21" s="13"/>
      <c r="F21" s="13"/>
      <c r="G21" s="13"/>
      <c r="H21" s="13"/>
      <c r="I21" s="13"/>
      <c r="J21" s="13"/>
      <c r="K21" s="13"/>
      <c r="L21" s="13"/>
      <c r="M21" s="13"/>
      <c r="N21" s="13"/>
      <c r="O21" s="13"/>
      <c r="P21" s="13"/>
      <c r="Q21" s="13"/>
      <c r="R21" s="13"/>
      <c r="S21" s="13"/>
    </row>
    <row r="22" spans="1:19" x14ac:dyDescent="0.35">
      <c r="A22" s="13"/>
      <c r="B22" s="13"/>
      <c r="C22" s="13"/>
      <c r="D22" s="13"/>
      <c r="E22" s="13"/>
      <c r="F22" s="13"/>
      <c r="G22" s="13"/>
      <c r="H22" s="13"/>
      <c r="I22" s="13"/>
      <c r="J22" s="13"/>
      <c r="K22" s="13"/>
      <c r="L22" s="13"/>
      <c r="M22" s="13"/>
      <c r="N22" s="13"/>
      <c r="O22" s="13"/>
      <c r="P22" s="13"/>
      <c r="Q22" s="13"/>
      <c r="R22" s="13"/>
      <c r="S22" s="13"/>
    </row>
    <row r="23" spans="1:19" x14ac:dyDescent="0.35">
      <c r="A23" s="13"/>
      <c r="B23" s="13"/>
      <c r="C23" s="13"/>
      <c r="D23" s="13"/>
      <c r="E23" s="13"/>
      <c r="F23" s="13"/>
      <c r="G23" s="13"/>
      <c r="H23" s="13"/>
      <c r="I23" s="13"/>
      <c r="J23" s="13"/>
      <c r="K23" s="13"/>
      <c r="L23" s="13"/>
      <c r="M23" s="13"/>
      <c r="N23" s="13"/>
      <c r="O23" s="13"/>
      <c r="P23" s="13"/>
      <c r="Q23" s="13"/>
      <c r="R23" s="13"/>
      <c r="S23" s="13"/>
    </row>
    <row r="24" spans="1:19" x14ac:dyDescent="0.35">
      <c r="A24" s="13"/>
      <c r="B24" s="13"/>
      <c r="C24" s="13"/>
      <c r="D24" s="13"/>
      <c r="E24" s="13"/>
      <c r="F24" s="13"/>
      <c r="G24" s="13"/>
      <c r="H24" s="13"/>
      <c r="I24" s="13"/>
      <c r="J24" s="13"/>
      <c r="K24" s="13"/>
      <c r="L24" s="13"/>
      <c r="M24" s="13"/>
      <c r="N24" s="13"/>
      <c r="O24" s="13"/>
      <c r="P24" s="13"/>
      <c r="Q24" s="13"/>
      <c r="R24" s="13"/>
      <c r="S24" s="13"/>
    </row>
    <row r="25" spans="1:19" x14ac:dyDescent="0.35">
      <c r="A25" s="13"/>
      <c r="B25" s="13"/>
      <c r="C25" s="13"/>
      <c r="D25" s="13"/>
      <c r="E25" s="13"/>
      <c r="F25" s="13"/>
      <c r="G25" s="13"/>
      <c r="H25" s="13"/>
      <c r="I25" s="13"/>
      <c r="J25" s="13"/>
      <c r="K25" s="13"/>
      <c r="L25" s="13"/>
      <c r="M25" s="13"/>
      <c r="N25" s="13"/>
      <c r="O25" s="13"/>
      <c r="P25" s="13"/>
      <c r="Q25" s="13"/>
      <c r="R25" s="13"/>
      <c r="S25" s="13"/>
    </row>
    <row r="26" spans="1:19" x14ac:dyDescent="0.35">
      <c r="A26" s="13"/>
      <c r="B26" s="13"/>
      <c r="C26" s="13"/>
      <c r="D26" s="13"/>
      <c r="E26" s="13"/>
      <c r="F26" s="13"/>
      <c r="G26" s="13"/>
      <c r="H26" s="13"/>
      <c r="I26" s="13"/>
      <c r="J26" s="13"/>
      <c r="K26" s="13"/>
      <c r="L26" s="13"/>
      <c r="M26" s="13"/>
      <c r="N26" s="13"/>
      <c r="O26" s="13"/>
      <c r="P26" s="13"/>
      <c r="Q26" s="13"/>
      <c r="R26" s="13"/>
      <c r="S26" s="13"/>
    </row>
    <row r="27" spans="1:19" x14ac:dyDescent="0.35">
      <c r="A27" s="13"/>
      <c r="B27" s="13"/>
      <c r="C27" s="13"/>
      <c r="D27" s="13"/>
      <c r="E27" s="13"/>
      <c r="F27" s="13"/>
      <c r="G27" s="13"/>
      <c r="H27" s="13"/>
      <c r="I27" s="13"/>
      <c r="J27" s="13"/>
      <c r="K27" s="13"/>
      <c r="L27" s="13"/>
      <c r="M27" s="13"/>
      <c r="N27" s="13"/>
      <c r="O27" s="13"/>
      <c r="P27" s="13"/>
      <c r="Q27" s="13"/>
      <c r="R27" s="13"/>
      <c r="S27" s="13"/>
    </row>
    <row r="28" spans="1:19" x14ac:dyDescent="0.35">
      <c r="A28" s="13"/>
      <c r="B28" s="13"/>
      <c r="C28" s="13"/>
      <c r="D28" s="13"/>
      <c r="E28" s="13"/>
      <c r="F28" s="13"/>
      <c r="G28" s="13"/>
      <c r="H28" s="13"/>
      <c r="I28" s="13"/>
      <c r="J28" s="13"/>
      <c r="K28" s="13"/>
      <c r="L28" s="13"/>
      <c r="M28" s="13"/>
      <c r="N28" s="13"/>
      <c r="O28" s="13"/>
      <c r="P28" s="13"/>
      <c r="Q28" s="13"/>
      <c r="R28" s="13"/>
      <c r="S28" s="13"/>
    </row>
    <row r="29" spans="1:19" x14ac:dyDescent="0.35">
      <c r="A29" s="13"/>
      <c r="B29" s="13"/>
      <c r="C29" s="13"/>
      <c r="D29" s="13"/>
      <c r="E29" s="13"/>
      <c r="F29" s="13"/>
      <c r="G29" s="13"/>
      <c r="H29" s="13"/>
      <c r="I29" s="13"/>
      <c r="J29" s="13"/>
      <c r="K29" s="13"/>
      <c r="L29" s="13"/>
      <c r="M29" s="13"/>
      <c r="N29" s="13"/>
      <c r="O29" s="13"/>
      <c r="P29" s="13"/>
      <c r="Q29" s="13"/>
      <c r="R29" s="13"/>
      <c r="S29" s="13"/>
    </row>
    <row r="30" spans="1:19" x14ac:dyDescent="0.35">
      <c r="A30" s="13"/>
      <c r="B30" s="13"/>
      <c r="C30" s="13"/>
      <c r="D30" s="13"/>
      <c r="E30" s="13"/>
      <c r="F30" s="13"/>
      <c r="G30" s="13"/>
      <c r="H30" s="13"/>
      <c r="I30" s="13"/>
      <c r="J30" s="13"/>
      <c r="K30" s="13"/>
      <c r="L30" s="13"/>
      <c r="M30" s="13"/>
      <c r="N30" s="13"/>
      <c r="O30" s="13"/>
      <c r="P30" s="13"/>
      <c r="Q30" s="13"/>
      <c r="R30" s="13"/>
      <c r="S30" s="13"/>
    </row>
    <row r="31" spans="1:19" x14ac:dyDescent="0.35">
      <c r="A31" s="13"/>
      <c r="B31" s="13"/>
      <c r="C31" s="13"/>
      <c r="D31" s="13"/>
      <c r="E31" s="13"/>
      <c r="F31" s="13"/>
      <c r="G31" s="13"/>
      <c r="H31" s="13"/>
      <c r="I31" s="13"/>
      <c r="J31" s="13"/>
      <c r="K31" s="13"/>
      <c r="L31" s="13"/>
      <c r="M31" s="13"/>
      <c r="N31" s="13"/>
      <c r="O31" s="13"/>
      <c r="P31" s="13"/>
      <c r="Q31" s="13"/>
      <c r="R31" s="13"/>
      <c r="S31" s="13"/>
    </row>
    <row r="32" spans="1:19" x14ac:dyDescent="0.35">
      <c r="A32" s="13"/>
      <c r="B32" s="13"/>
      <c r="C32" s="13"/>
      <c r="D32" s="13"/>
      <c r="E32" s="13"/>
      <c r="F32" s="13"/>
      <c r="G32" s="13"/>
      <c r="H32" s="13"/>
      <c r="I32" s="13"/>
      <c r="J32" s="13"/>
      <c r="K32" s="13"/>
      <c r="L32" s="13"/>
      <c r="M32" s="13"/>
      <c r="N32" s="13"/>
      <c r="O32" s="13"/>
      <c r="P32" s="13"/>
      <c r="Q32" s="13"/>
      <c r="R32" s="13"/>
      <c r="S32" s="13"/>
    </row>
    <row r="33" spans="1:19" x14ac:dyDescent="0.35">
      <c r="A33" s="13"/>
      <c r="B33" s="13"/>
      <c r="C33" s="13"/>
      <c r="D33" s="13"/>
      <c r="E33" s="13"/>
      <c r="F33" s="13"/>
      <c r="G33" s="13"/>
      <c r="H33" s="13"/>
      <c r="I33" s="13"/>
      <c r="J33" s="13"/>
      <c r="K33" s="13"/>
      <c r="L33" s="13"/>
      <c r="M33" s="13"/>
      <c r="N33" s="13"/>
      <c r="O33" s="13"/>
      <c r="P33" s="13"/>
      <c r="Q33" s="13"/>
      <c r="R33" s="13"/>
      <c r="S33" s="13"/>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D0C04-B211-4220-873F-9FB20F9F6A5E}">
  <dimension ref="A1:U36"/>
  <sheetViews>
    <sheetView topLeftCell="A4" zoomScale="68" workbookViewId="0">
      <selection activeCell="O7" sqref="O7"/>
    </sheetView>
  </sheetViews>
  <sheetFormatPr defaultRowHeight="14.5" x14ac:dyDescent="0.35"/>
  <sheetData>
    <row r="1" spans="1:21" x14ac:dyDescent="0.35">
      <c r="A1" s="13"/>
      <c r="B1" s="13"/>
      <c r="C1" s="13"/>
      <c r="D1" s="13"/>
      <c r="E1" s="13"/>
      <c r="F1" s="13"/>
      <c r="G1" s="13"/>
      <c r="H1" s="13"/>
      <c r="I1" s="13"/>
      <c r="J1" s="13"/>
      <c r="K1" s="13"/>
      <c r="L1" s="13"/>
      <c r="M1" s="13"/>
      <c r="N1" s="13"/>
      <c r="O1" s="13"/>
      <c r="P1" s="13"/>
      <c r="Q1" s="13"/>
      <c r="R1" s="13"/>
      <c r="S1" s="13"/>
      <c r="T1" s="13"/>
      <c r="U1" s="13"/>
    </row>
    <row r="2" spans="1:21" ht="31" x14ac:dyDescent="0.7">
      <c r="A2" s="13"/>
      <c r="B2" s="13"/>
      <c r="C2" s="13"/>
      <c r="D2" s="13"/>
      <c r="E2" s="13"/>
      <c r="F2" s="13"/>
      <c r="G2" s="13"/>
      <c r="H2" s="13"/>
      <c r="I2" s="15" t="s">
        <v>767</v>
      </c>
      <c r="J2" s="13"/>
      <c r="K2" s="13"/>
      <c r="L2" s="13"/>
      <c r="M2" s="13"/>
      <c r="N2" s="13"/>
      <c r="O2" s="13"/>
      <c r="P2" s="13"/>
      <c r="Q2" s="13"/>
      <c r="R2" s="13"/>
      <c r="S2" s="13"/>
      <c r="T2" s="13"/>
      <c r="U2" s="13"/>
    </row>
    <row r="3" spans="1:21" x14ac:dyDescent="0.35">
      <c r="A3" s="13"/>
      <c r="B3" s="13"/>
      <c r="C3" s="13"/>
      <c r="D3" s="13"/>
      <c r="E3" s="13"/>
      <c r="F3" s="13"/>
      <c r="G3" s="13"/>
      <c r="H3" s="13"/>
      <c r="I3" s="13"/>
      <c r="J3" s="13"/>
      <c r="K3" s="13"/>
      <c r="L3" s="13"/>
      <c r="M3" s="13"/>
      <c r="N3" s="13"/>
      <c r="O3" s="13"/>
      <c r="P3" s="13"/>
      <c r="Q3" s="13"/>
      <c r="R3" s="13"/>
      <c r="S3" s="13"/>
      <c r="T3" s="13"/>
      <c r="U3" s="13"/>
    </row>
    <row r="4" spans="1:21" x14ac:dyDescent="0.35">
      <c r="A4" s="13"/>
      <c r="B4" s="13"/>
      <c r="C4" s="13"/>
      <c r="D4" s="13"/>
      <c r="E4" s="13"/>
      <c r="F4" s="13"/>
      <c r="G4" s="13"/>
      <c r="H4" s="13"/>
      <c r="I4" s="13"/>
      <c r="J4" s="13"/>
      <c r="K4" s="13"/>
      <c r="L4" s="13"/>
      <c r="M4" s="13"/>
      <c r="N4" s="13"/>
      <c r="O4" s="13"/>
      <c r="P4" s="13"/>
      <c r="Q4" s="13"/>
      <c r="R4" s="13"/>
      <c r="S4" s="13"/>
      <c r="T4" s="13"/>
      <c r="U4" s="13"/>
    </row>
    <row r="5" spans="1:21" x14ac:dyDescent="0.35">
      <c r="A5" s="13"/>
      <c r="B5" s="13"/>
      <c r="C5" s="13"/>
      <c r="D5" s="13"/>
      <c r="E5" s="13"/>
      <c r="F5" s="13"/>
      <c r="G5" s="13"/>
      <c r="H5" s="13"/>
      <c r="I5" s="13"/>
      <c r="J5" s="13"/>
      <c r="K5" s="13"/>
      <c r="L5" s="13"/>
      <c r="M5" s="13"/>
      <c r="N5" s="13"/>
      <c r="O5" s="13"/>
      <c r="P5" s="13"/>
      <c r="Q5" s="13"/>
      <c r="R5" s="13"/>
      <c r="S5" s="13"/>
      <c r="T5" s="13"/>
      <c r="U5" s="13"/>
    </row>
    <row r="6" spans="1:21" x14ac:dyDescent="0.35">
      <c r="A6" s="13"/>
      <c r="B6" s="13"/>
      <c r="C6" s="13"/>
      <c r="D6" s="13"/>
      <c r="E6" s="13"/>
      <c r="F6" s="13"/>
      <c r="G6" s="13"/>
      <c r="H6" s="13"/>
      <c r="I6" s="13"/>
      <c r="J6" s="13"/>
      <c r="K6" s="13"/>
      <c r="L6" s="13"/>
      <c r="M6" s="13"/>
      <c r="N6" s="13"/>
      <c r="O6" s="13"/>
      <c r="P6" s="13"/>
      <c r="Q6" s="13"/>
      <c r="R6" s="13"/>
      <c r="S6" s="13"/>
      <c r="T6" s="13"/>
      <c r="U6" s="13"/>
    </row>
    <row r="7" spans="1:21" x14ac:dyDescent="0.35">
      <c r="A7" s="13"/>
      <c r="B7" s="13"/>
      <c r="C7" s="13"/>
      <c r="D7" s="13"/>
      <c r="E7" s="13"/>
      <c r="F7" s="13"/>
      <c r="G7" s="13"/>
      <c r="H7" s="13"/>
      <c r="I7" s="13"/>
      <c r="J7" s="13"/>
      <c r="K7" s="13"/>
      <c r="L7" s="13"/>
      <c r="M7" s="13"/>
      <c r="N7" s="13"/>
      <c r="O7" s="13"/>
      <c r="P7" s="13"/>
      <c r="Q7" s="13"/>
      <c r="R7" s="13"/>
      <c r="S7" s="13"/>
      <c r="T7" s="13"/>
      <c r="U7" s="13"/>
    </row>
    <row r="8" spans="1:21" x14ac:dyDescent="0.35">
      <c r="A8" s="13"/>
      <c r="B8" s="13"/>
      <c r="C8" s="13"/>
      <c r="D8" s="13"/>
      <c r="E8" s="13"/>
      <c r="F8" s="13"/>
      <c r="G8" s="13"/>
      <c r="H8" s="13"/>
      <c r="I8" s="13"/>
      <c r="J8" s="13"/>
      <c r="K8" s="13"/>
      <c r="L8" s="13"/>
      <c r="M8" s="13"/>
      <c r="N8" s="13"/>
      <c r="O8" s="13"/>
      <c r="P8" s="13"/>
      <c r="Q8" s="13"/>
      <c r="R8" s="13"/>
      <c r="S8" s="13"/>
      <c r="T8" s="13"/>
      <c r="U8" s="13"/>
    </row>
    <row r="9" spans="1:21" x14ac:dyDescent="0.35">
      <c r="A9" s="13"/>
      <c r="B9" s="13"/>
      <c r="C9" s="13"/>
      <c r="D9" s="13"/>
      <c r="E9" s="13"/>
      <c r="F9" s="13"/>
      <c r="G9" s="13"/>
      <c r="H9" s="13"/>
      <c r="I9" s="13"/>
      <c r="J9" s="13"/>
      <c r="K9" s="13"/>
      <c r="L9" s="13"/>
      <c r="M9" s="13"/>
      <c r="N9" s="13"/>
      <c r="O9" s="13"/>
      <c r="P9" s="13"/>
      <c r="Q9" s="13"/>
      <c r="R9" s="13"/>
      <c r="S9" s="13"/>
      <c r="T9" s="13"/>
      <c r="U9" s="13"/>
    </row>
    <row r="10" spans="1:21" x14ac:dyDescent="0.35">
      <c r="A10" s="13"/>
      <c r="B10" s="13"/>
      <c r="C10" s="13"/>
      <c r="D10" s="13"/>
      <c r="E10" s="13"/>
      <c r="F10" s="13"/>
      <c r="G10" s="13"/>
      <c r="H10" s="13"/>
      <c r="I10" s="13"/>
      <c r="J10" s="13"/>
      <c r="K10" s="13"/>
      <c r="L10" s="13"/>
      <c r="M10" s="13"/>
      <c r="N10" s="13"/>
      <c r="O10" s="13"/>
      <c r="P10" s="13"/>
      <c r="Q10" s="13"/>
      <c r="R10" s="13"/>
      <c r="S10" s="13"/>
      <c r="T10" s="13"/>
      <c r="U10" s="13"/>
    </row>
    <row r="11" spans="1:21" x14ac:dyDescent="0.35">
      <c r="A11" s="13"/>
      <c r="B11" s="13"/>
      <c r="C11" s="13"/>
      <c r="D11" s="13"/>
      <c r="E11" s="13"/>
      <c r="F11" s="13"/>
      <c r="G11" s="13"/>
      <c r="H11" s="13"/>
      <c r="I11" s="13"/>
      <c r="J11" s="13"/>
      <c r="K11" s="13"/>
      <c r="L11" s="13"/>
      <c r="M11" s="13"/>
      <c r="N11" s="13"/>
      <c r="O11" s="13"/>
      <c r="P11" s="13"/>
      <c r="Q11" s="13"/>
      <c r="R11" s="13"/>
      <c r="S11" s="13"/>
      <c r="T11" s="13"/>
      <c r="U11" s="13"/>
    </row>
    <row r="12" spans="1:21" x14ac:dyDescent="0.35">
      <c r="A12" s="13"/>
      <c r="B12" s="13"/>
      <c r="C12" s="13"/>
      <c r="D12" s="13"/>
      <c r="E12" s="13"/>
      <c r="F12" s="13"/>
      <c r="G12" s="13"/>
      <c r="H12" s="13"/>
      <c r="I12" s="13"/>
      <c r="J12" s="13"/>
      <c r="K12" s="13"/>
      <c r="L12" s="13"/>
      <c r="M12" s="13"/>
      <c r="N12" s="13"/>
      <c r="O12" s="13"/>
      <c r="P12" s="13"/>
      <c r="Q12" s="13"/>
      <c r="R12" s="13"/>
      <c r="S12" s="13"/>
      <c r="T12" s="13"/>
      <c r="U12" s="13"/>
    </row>
    <row r="13" spans="1:21" x14ac:dyDescent="0.35">
      <c r="A13" s="13"/>
      <c r="B13" s="13"/>
      <c r="C13" s="13"/>
      <c r="D13" s="13"/>
      <c r="E13" s="13"/>
      <c r="F13" s="13"/>
      <c r="G13" s="13"/>
      <c r="H13" s="13"/>
      <c r="I13" s="13"/>
      <c r="J13" s="13"/>
      <c r="K13" s="13"/>
      <c r="L13" s="13"/>
      <c r="M13" s="13"/>
      <c r="N13" s="13"/>
      <c r="O13" s="13"/>
      <c r="P13" s="13"/>
      <c r="Q13" s="13"/>
      <c r="R13" s="13"/>
      <c r="S13" s="13"/>
      <c r="T13" s="13"/>
      <c r="U13" s="13"/>
    </row>
    <row r="14" spans="1:21" x14ac:dyDescent="0.35">
      <c r="A14" s="13"/>
      <c r="B14" s="13"/>
      <c r="C14" s="13"/>
      <c r="D14" s="13"/>
      <c r="E14" s="13"/>
      <c r="F14" s="13"/>
      <c r="G14" s="13"/>
      <c r="H14" s="13"/>
      <c r="I14" s="13"/>
      <c r="J14" s="13"/>
      <c r="K14" s="13"/>
      <c r="L14" s="13"/>
      <c r="M14" s="13"/>
      <c r="N14" s="13"/>
      <c r="O14" s="13"/>
      <c r="P14" s="13"/>
      <c r="Q14" s="13"/>
      <c r="R14" s="13"/>
      <c r="S14" s="13"/>
      <c r="T14" s="13"/>
      <c r="U14" s="13"/>
    </row>
    <row r="15" spans="1:21" x14ac:dyDescent="0.35">
      <c r="A15" s="13"/>
      <c r="B15" s="13"/>
      <c r="C15" s="13"/>
      <c r="D15" s="13"/>
      <c r="E15" s="13"/>
      <c r="F15" s="13"/>
      <c r="G15" s="13"/>
      <c r="H15" s="13"/>
      <c r="I15" s="13"/>
      <c r="J15" s="13"/>
      <c r="K15" s="13"/>
      <c r="L15" s="13"/>
      <c r="M15" s="13"/>
      <c r="N15" s="13"/>
      <c r="O15" s="13"/>
      <c r="P15" s="13"/>
      <c r="Q15" s="13"/>
      <c r="R15" s="13"/>
      <c r="S15" s="13"/>
      <c r="T15" s="13"/>
      <c r="U15" s="13"/>
    </row>
    <row r="16" spans="1:21" x14ac:dyDescent="0.35">
      <c r="A16" s="13"/>
      <c r="B16" s="13"/>
      <c r="C16" s="13"/>
      <c r="D16" s="13"/>
      <c r="E16" s="13"/>
      <c r="F16" s="13"/>
      <c r="G16" s="13"/>
      <c r="H16" s="13"/>
      <c r="I16" s="13"/>
      <c r="J16" s="13"/>
      <c r="K16" s="13"/>
      <c r="L16" s="13"/>
      <c r="M16" s="13"/>
      <c r="N16" s="13"/>
      <c r="O16" s="13"/>
      <c r="P16" s="13"/>
      <c r="Q16" s="13"/>
      <c r="R16" s="13"/>
      <c r="S16" s="13"/>
      <c r="T16" s="13"/>
      <c r="U16" s="13"/>
    </row>
    <row r="17" spans="1:21" x14ac:dyDescent="0.35">
      <c r="A17" s="13"/>
      <c r="B17" s="13"/>
      <c r="C17" s="13"/>
      <c r="D17" s="13"/>
      <c r="E17" s="13"/>
      <c r="F17" s="13"/>
      <c r="G17" s="13"/>
      <c r="H17" s="13"/>
      <c r="I17" s="13"/>
      <c r="J17" s="13"/>
      <c r="K17" s="13"/>
      <c r="L17" s="13"/>
      <c r="M17" s="13"/>
      <c r="N17" s="13"/>
      <c r="O17" s="13"/>
      <c r="P17" s="13"/>
      <c r="Q17" s="13"/>
      <c r="R17" s="13"/>
      <c r="S17" s="13"/>
      <c r="T17" s="13"/>
      <c r="U17" s="13"/>
    </row>
    <row r="18" spans="1:21" x14ac:dyDescent="0.35">
      <c r="A18" s="13"/>
      <c r="B18" s="13"/>
      <c r="C18" s="13"/>
      <c r="D18" s="13"/>
      <c r="E18" s="13"/>
      <c r="F18" s="13"/>
      <c r="G18" s="13"/>
      <c r="H18" s="13"/>
      <c r="I18" s="13"/>
      <c r="J18" s="13"/>
      <c r="K18" s="13"/>
      <c r="L18" s="13"/>
      <c r="M18" s="13"/>
      <c r="N18" s="13"/>
      <c r="O18" s="13"/>
      <c r="P18" s="13"/>
      <c r="Q18" s="13"/>
      <c r="R18" s="13"/>
      <c r="S18" s="13"/>
      <c r="T18" s="13"/>
      <c r="U18" s="13"/>
    </row>
    <row r="19" spans="1:21" x14ac:dyDescent="0.35">
      <c r="A19" s="13"/>
      <c r="B19" s="13"/>
      <c r="C19" s="13"/>
      <c r="D19" s="13"/>
      <c r="E19" s="13"/>
      <c r="F19" s="13"/>
      <c r="G19" s="13"/>
      <c r="H19" s="13"/>
      <c r="I19" s="13"/>
      <c r="J19" s="13"/>
      <c r="K19" s="13"/>
      <c r="L19" s="13"/>
      <c r="M19" s="13"/>
      <c r="N19" s="13"/>
      <c r="O19" s="13"/>
      <c r="P19" s="13"/>
      <c r="Q19" s="13"/>
      <c r="R19" s="13"/>
      <c r="S19" s="13"/>
      <c r="T19" s="13"/>
      <c r="U19" s="13"/>
    </row>
    <row r="20" spans="1:21" x14ac:dyDescent="0.35">
      <c r="A20" s="13"/>
      <c r="B20" s="13"/>
      <c r="C20" s="13"/>
      <c r="D20" s="13"/>
      <c r="E20" s="13"/>
      <c r="F20" s="13"/>
      <c r="G20" s="13"/>
      <c r="H20" s="13"/>
      <c r="I20" s="13"/>
      <c r="J20" s="13"/>
      <c r="K20" s="13"/>
      <c r="L20" s="13"/>
      <c r="M20" s="13"/>
      <c r="N20" s="13"/>
      <c r="O20" s="13"/>
      <c r="P20" s="13"/>
      <c r="Q20" s="13"/>
      <c r="R20" s="13"/>
      <c r="S20" s="13"/>
      <c r="T20" s="13"/>
      <c r="U20" s="13"/>
    </row>
    <row r="21" spans="1:21" x14ac:dyDescent="0.35">
      <c r="A21" s="13"/>
      <c r="B21" s="13"/>
      <c r="C21" s="13"/>
      <c r="D21" s="13"/>
      <c r="E21" s="13"/>
      <c r="F21" s="13"/>
      <c r="G21" s="13"/>
      <c r="H21" s="13"/>
      <c r="I21" s="13"/>
      <c r="J21" s="13"/>
      <c r="K21" s="13"/>
      <c r="L21" s="13"/>
      <c r="M21" s="13"/>
      <c r="N21" s="13"/>
      <c r="O21" s="13"/>
      <c r="P21" s="13"/>
      <c r="Q21" s="13"/>
      <c r="R21" s="13"/>
      <c r="S21" s="13"/>
      <c r="T21" s="13"/>
      <c r="U21" s="13"/>
    </row>
    <row r="22" spans="1:21" x14ac:dyDescent="0.35">
      <c r="A22" s="13"/>
      <c r="B22" s="13"/>
      <c r="C22" s="13"/>
      <c r="D22" s="13"/>
      <c r="E22" s="13"/>
      <c r="F22" s="13"/>
      <c r="G22" s="13"/>
      <c r="H22" s="13"/>
      <c r="I22" s="13"/>
      <c r="J22" s="13"/>
      <c r="K22" s="13"/>
      <c r="L22" s="13"/>
      <c r="M22" s="13"/>
      <c r="N22" s="13"/>
      <c r="O22" s="13"/>
      <c r="P22" s="13"/>
      <c r="Q22" s="13"/>
      <c r="R22" s="13"/>
      <c r="S22" s="13"/>
      <c r="T22" s="13"/>
      <c r="U22" s="13"/>
    </row>
    <row r="23" spans="1:21" x14ac:dyDescent="0.35">
      <c r="A23" s="13"/>
      <c r="B23" s="13"/>
      <c r="C23" s="13"/>
      <c r="D23" s="13"/>
      <c r="E23" s="13"/>
      <c r="F23" s="13"/>
      <c r="G23" s="13"/>
      <c r="H23" s="13"/>
      <c r="I23" s="13"/>
      <c r="J23" s="13"/>
      <c r="K23" s="13"/>
      <c r="L23" s="13"/>
      <c r="M23" s="13"/>
      <c r="N23" s="13"/>
      <c r="O23" s="13"/>
      <c r="P23" s="13"/>
      <c r="Q23" s="13"/>
      <c r="R23" s="13"/>
      <c r="S23" s="13"/>
      <c r="T23" s="13"/>
      <c r="U23" s="13"/>
    </row>
    <row r="24" spans="1:21" x14ac:dyDescent="0.35">
      <c r="A24" s="13"/>
      <c r="B24" s="13"/>
      <c r="C24" s="13"/>
      <c r="D24" s="13"/>
      <c r="E24" s="13"/>
      <c r="F24" s="13"/>
      <c r="G24" s="13"/>
      <c r="H24" s="13"/>
      <c r="I24" s="13"/>
      <c r="J24" s="13"/>
      <c r="K24" s="13"/>
      <c r="L24" s="13"/>
      <c r="M24" s="13"/>
      <c r="N24" s="13"/>
      <c r="O24" s="13"/>
      <c r="P24" s="13"/>
      <c r="Q24" s="13"/>
      <c r="R24" s="13"/>
      <c r="S24" s="13"/>
      <c r="T24" s="13"/>
      <c r="U24" s="13"/>
    </row>
    <row r="25" spans="1:21" x14ac:dyDescent="0.35">
      <c r="A25" s="13"/>
      <c r="B25" s="13"/>
      <c r="C25" s="13"/>
      <c r="D25" s="13"/>
      <c r="E25" s="13"/>
      <c r="F25" s="13"/>
      <c r="G25" s="13"/>
      <c r="H25" s="13"/>
      <c r="I25" s="13"/>
      <c r="J25" s="13"/>
      <c r="K25" s="13"/>
      <c r="L25" s="13"/>
      <c r="M25" s="13"/>
      <c r="N25" s="13"/>
      <c r="O25" s="13"/>
      <c r="P25" s="13"/>
      <c r="Q25" s="13"/>
      <c r="R25" s="13"/>
      <c r="S25" s="13"/>
      <c r="T25" s="13"/>
      <c r="U25" s="13"/>
    </row>
    <row r="26" spans="1:21" x14ac:dyDescent="0.35">
      <c r="A26" s="13"/>
      <c r="B26" s="13"/>
      <c r="C26" s="13"/>
      <c r="D26" s="13"/>
      <c r="E26" s="13"/>
      <c r="F26" s="13"/>
      <c r="G26" s="13"/>
      <c r="H26" s="13"/>
      <c r="I26" s="13"/>
      <c r="J26" s="13"/>
      <c r="K26" s="13"/>
      <c r="L26" s="13"/>
      <c r="M26" s="13"/>
      <c r="N26" s="13"/>
      <c r="O26" s="13"/>
      <c r="P26" s="13"/>
      <c r="Q26" s="13"/>
      <c r="R26" s="13"/>
      <c r="S26" s="13"/>
      <c r="T26" s="13"/>
      <c r="U26" s="13"/>
    </row>
    <row r="27" spans="1:21" x14ac:dyDescent="0.35">
      <c r="A27" s="13"/>
      <c r="B27" s="13"/>
      <c r="C27" s="13"/>
      <c r="D27" s="13"/>
      <c r="E27" s="13"/>
      <c r="F27" s="13"/>
      <c r="G27" s="13"/>
      <c r="H27" s="13"/>
      <c r="I27" s="13"/>
      <c r="J27" s="13"/>
      <c r="K27" s="13"/>
      <c r="L27" s="13"/>
      <c r="M27" s="13"/>
      <c r="N27" s="13"/>
      <c r="O27" s="13"/>
      <c r="P27" s="13"/>
      <c r="Q27" s="13"/>
      <c r="R27" s="13"/>
      <c r="S27" s="13"/>
      <c r="T27" s="13"/>
      <c r="U27" s="13"/>
    </row>
    <row r="28" spans="1:21" x14ac:dyDescent="0.35">
      <c r="A28" s="13"/>
      <c r="B28" s="13"/>
      <c r="C28" s="13"/>
      <c r="D28" s="13"/>
      <c r="E28" s="13"/>
      <c r="F28" s="13"/>
      <c r="G28" s="13"/>
      <c r="H28" s="13"/>
      <c r="I28" s="13"/>
      <c r="J28" s="13"/>
      <c r="K28" s="13"/>
      <c r="L28" s="13"/>
      <c r="M28" s="13"/>
      <c r="N28" s="13"/>
      <c r="O28" s="13"/>
      <c r="P28" s="13"/>
      <c r="Q28" s="13"/>
      <c r="R28" s="13"/>
      <c r="S28" s="13"/>
      <c r="T28" s="13"/>
      <c r="U28" s="13"/>
    </row>
    <row r="29" spans="1:21" x14ac:dyDescent="0.35">
      <c r="A29" s="13"/>
      <c r="B29" s="13"/>
      <c r="C29" s="13"/>
      <c r="D29" s="13"/>
      <c r="E29" s="13"/>
      <c r="F29" s="13"/>
      <c r="G29" s="13"/>
      <c r="H29" s="13"/>
      <c r="I29" s="13"/>
      <c r="J29" s="13"/>
      <c r="K29" s="13"/>
      <c r="L29" s="13"/>
      <c r="M29" s="13"/>
      <c r="N29" s="13"/>
      <c r="O29" s="13"/>
      <c r="P29" s="13"/>
      <c r="Q29" s="13"/>
      <c r="R29" s="13"/>
      <c r="S29" s="13"/>
      <c r="T29" s="13"/>
      <c r="U29" s="13"/>
    </row>
    <row r="30" spans="1:21" x14ac:dyDescent="0.35">
      <c r="A30" s="13"/>
      <c r="B30" s="13"/>
      <c r="C30" s="13"/>
      <c r="D30" s="13"/>
      <c r="E30" s="13"/>
      <c r="F30" s="13"/>
      <c r="G30" s="13"/>
      <c r="H30" s="13"/>
      <c r="I30" s="13"/>
      <c r="J30" s="13"/>
      <c r="K30" s="13"/>
      <c r="L30" s="13"/>
      <c r="M30" s="13"/>
      <c r="N30" s="13"/>
      <c r="O30" s="13"/>
      <c r="P30" s="13"/>
      <c r="Q30" s="13"/>
      <c r="R30" s="13"/>
      <c r="S30" s="13"/>
      <c r="T30" s="13"/>
      <c r="U30" s="13"/>
    </row>
    <row r="31" spans="1:21" x14ac:dyDescent="0.35">
      <c r="A31" s="13"/>
      <c r="B31" s="13"/>
      <c r="C31" s="13"/>
      <c r="D31" s="13"/>
      <c r="E31" s="13"/>
      <c r="F31" s="13"/>
      <c r="G31" s="13"/>
      <c r="H31" s="13"/>
      <c r="I31" s="13"/>
      <c r="J31" s="13"/>
      <c r="K31" s="13"/>
      <c r="L31" s="13"/>
      <c r="M31" s="13"/>
      <c r="N31" s="13"/>
      <c r="O31" s="13"/>
      <c r="P31" s="13"/>
      <c r="Q31" s="13"/>
      <c r="R31" s="13"/>
      <c r="S31" s="13"/>
      <c r="T31" s="13"/>
      <c r="U31" s="13"/>
    </row>
    <row r="32" spans="1:21" x14ac:dyDescent="0.35">
      <c r="A32" s="13"/>
      <c r="B32" s="13"/>
      <c r="C32" s="13"/>
      <c r="D32" s="13"/>
      <c r="E32" s="13"/>
      <c r="F32" s="13"/>
      <c r="G32" s="13"/>
      <c r="H32" s="13"/>
      <c r="I32" s="13"/>
      <c r="J32" s="13"/>
      <c r="K32" s="13"/>
      <c r="L32" s="13"/>
      <c r="M32" s="13"/>
      <c r="N32" s="13"/>
      <c r="O32" s="13"/>
      <c r="P32" s="13"/>
      <c r="Q32" s="13"/>
      <c r="R32" s="13"/>
      <c r="S32" s="13"/>
      <c r="T32" s="13"/>
      <c r="U32" s="13"/>
    </row>
    <row r="33" spans="1:21" x14ac:dyDescent="0.35">
      <c r="A33" s="13"/>
      <c r="B33" s="13"/>
      <c r="C33" s="13"/>
      <c r="D33" s="13"/>
      <c r="E33" s="13"/>
      <c r="F33" s="13"/>
      <c r="G33" s="13"/>
      <c r="H33" s="13"/>
      <c r="I33" s="13"/>
      <c r="J33" s="13"/>
      <c r="K33" s="13"/>
      <c r="L33" s="13"/>
      <c r="M33" s="13"/>
      <c r="N33" s="13"/>
      <c r="O33" s="13"/>
      <c r="P33" s="13"/>
      <c r="Q33" s="13"/>
      <c r="R33" s="13"/>
      <c r="S33" s="13"/>
      <c r="T33" s="13"/>
      <c r="U33" s="13"/>
    </row>
    <row r="34" spans="1:21" x14ac:dyDescent="0.35">
      <c r="A34" s="13"/>
      <c r="B34" s="13"/>
      <c r="C34" s="13"/>
      <c r="D34" s="13"/>
      <c r="E34" s="13"/>
      <c r="F34" s="13"/>
      <c r="G34" s="13"/>
      <c r="H34" s="13"/>
      <c r="I34" s="13"/>
      <c r="J34" s="13"/>
      <c r="K34" s="13"/>
      <c r="L34" s="13"/>
      <c r="M34" s="13"/>
      <c r="N34" s="13"/>
      <c r="O34" s="13"/>
      <c r="P34" s="13"/>
      <c r="Q34" s="13"/>
      <c r="R34" s="13"/>
      <c r="S34" s="13"/>
      <c r="T34" s="13"/>
      <c r="U34" s="13"/>
    </row>
    <row r="35" spans="1:21" x14ac:dyDescent="0.35">
      <c r="A35" s="13"/>
      <c r="B35" s="13"/>
      <c r="C35" s="13"/>
      <c r="D35" s="13"/>
      <c r="E35" s="13"/>
      <c r="F35" s="13"/>
      <c r="G35" s="13"/>
      <c r="H35" s="13"/>
      <c r="I35" s="13"/>
      <c r="J35" s="13"/>
      <c r="K35" s="13"/>
      <c r="L35" s="13"/>
      <c r="M35" s="13"/>
      <c r="N35" s="13"/>
      <c r="O35" s="13"/>
      <c r="P35" s="13"/>
      <c r="Q35" s="13"/>
      <c r="R35" s="13"/>
      <c r="S35" s="13"/>
      <c r="T35" s="13"/>
      <c r="U35" s="13"/>
    </row>
    <row r="36" spans="1:21" x14ac:dyDescent="0.35">
      <c r="A36" s="13"/>
      <c r="B36" s="13"/>
      <c r="C36" s="13"/>
      <c r="D36" s="13"/>
      <c r="E36" s="13"/>
      <c r="F36" s="13"/>
      <c r="G36" s="13"/>
      <c r="H36" s="13"/>
      <c r="I36" s="13"/>
      <c r="J36" s="13"/>
      <c r="K36" s="13"/>
      <c r="L36" s="13"/>
      <c r="M36" s="13"/>
      <c r="N36" s="13"/>
      <c r="O36" s="13"/>
      <c r="P36" s="13"/>
      <c r="Q36" s="13"/>
      <c r="R36" s="13"/>
      <c r="S36" s="13"/>
      <c r="T36" s="13"/>
      <c r="U36"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E8764-41FA-42A4-B506-D8B197E63EA3}">
  <dimension ref="A1:T37"/>
  <sheetViews>
    <sheetView topLeftCell="A5" zoomScale="68" zoomScaleNormal="95" workbookViewId="0">
      <selection activeCell="C4" sqref="C4"/>
    </sheetView>
  </sheetViews>
  <sheetFormatPr defaultRowHeight="14.5" x14ac:dyDescent="0.35"/>
  <sheetData>
    <row r="1" spans="1:20" x14ac:dyDescent="0.35">
      <c r="A1" s="13"/>
      <c r="B1" s="13"/>
      <c r="C1" s="13"/>
      <c r="D1" s="13"/>
      <c r="E1" s="13"/>
      <c r="F1" s="13"/>
      <c r="G1" s="13"/>
      <c r="H1" s="13"/>
      <c r="I1" s="13"/>
      <c r="J1" s="13"/>
      <c r="K1" s="13"/>
      <c r="L1" s="13"/>
      <c r="M1" s="13"/>
      <c r="N1" s="13"/>
      <c r="O1" s="13"/>
      <c r="P1" s="13"/>
      <c r="Q1" s="13"/>
      <c r="R1" s="13"/>
      <c r="S1" s="13"/>
      <c r="T1" s="13"/>
    </row>
    <row r="2" spans="1:20" x14ac:dyDescent="0.35">
      <c r="A2" s="13"/>
      <c r="B2" s="13"/>
      <c r="C2" s="13"/>
      <c r="D2" s="13"/>
      <c r="E2" s="13"/>
      <c r="F2" s="13"/>
      <c r="G2" s="13"/>
      <c r="H2" s="13"/>
      <c r="I2" s="13"/>
      <c r="J2" s="13"/>
      <c r="K2" s="13"/>
      <c r="L2" s="13"/>
      <c r="M2" s="13"/>
      <c r="N2" s="13"/>
      <c r="O2" s="13"/>
      <c r="P2" s="13"/>
      <c r="Q2" s="13"/>
      <c r="R2" s="13"/>
      <c r="S2" s="13"/>
      <c r="T2" s="13"/>
    </row>
    <row r="3" spans="1:20" ht="31" x14ac:dyDescent="0.7">
      <c r="A3" s="13"/>
      <c r="B3" s="13"/>
      <c r="C3" s="13"/>
      <c r="D3" s="13"/>
      <c r="E3" s="14"/>
      <c r="F3" s="13"/>
      <c r="G3" s="13"/>
      <c r="H3" s="13"/>
      <c r="I3" s="15" t="s">
        <v>760</v>
      </c>
      <c r="J3" s="13"/>
      <c r="K3" s="13"/>
      <c r="L3" s="13"/>
      <c r="M3" s="13"/>
      <c r="N3" s="13"/>
      <c r="O3" s="13"/>
      <c r="P3" s="13"/>
      <c r="Q3" s="13"/>
      <c r="R3" s="13"/>
      <c r="S3" s="13"/>
      <c r="T3" s="13"/>
    </row>
    <row r="4" spans="1:20" x14ac:dyDescent="0.35">
      <c r="A4" s="13"/>
      <c r="B4" s="13"/>
      <c r="C4" s="13"/>
      <c r="D4" s="13"/>
      <c r="E4" s="13"/>
      <c r="F4" s="13"/>
      <c r="G4" s="13"/>
      <c r="H4" s="13"/>
      <c r="I4" s="13"/>
      <c r="J4" s="13"/>
      <c r="K4" s="13"/>
      <c r="L4" s="13"/>
      <c r="M4" s="13"/>
      <c r="N4" s="13"/>
      <c r="O4" s="13"/>
      <c r="P4" s="13"/>
      <c r="Q4" s="13"/>
      <c r="R4" s="13"/>
      <c r="S4" s="13"/>
      <c r="T4" s="13"/>
    </row>
    <row r="5" spans="1:20" x14ac:dyDescent="0.35">
      <c r="A5" s="13"/>
      <c r="B5" s="13"/>
      <c r="C5" s="13"/>
      <c r="D5" s="13"/>
      <c r="E5" s="13"/>
      <c r="F5" s="13"/>
      <c r="G5" s="13"/>
      <c r="H5" s="13"/>
      <c r="I5" s="13"/>
      <c r="J5" s="13"/>
      <c r="K5" s="13"/>
      <c r="L5" s="13"/>
      <c r="M5" s="13"/>
      <c r="N5" s="13"/>
      <c r="O5" s="13"/>
      <c r="P5" s="13"/>
      <c r="Q5" s="13"/>
      <c r="R5" s="13"/>
      <c r="S5" s="13"/>
      <c r="T5" s="13"/>
    </row>
    <row r="6" spans="1:20" x14ac:dyDescent="0.35">
      <c r="A6" s="13"/>
      <c r="B6" s="13"/>
      <c r="C6" s="13"/>
      <c r="D6" s="13"/>
      <c r="E6" s="13"/>
      <c r="F6" s="13"/>
      <c r="G6" s="13"/>
      <c r="H6" s="13"/>
      <c r="I6" s="13"/>
      <c r="J6" s="13"/>
      <c r="K6" s="13"/>
      <c r="L6" s="13"/>
      <c r="M6" s="13"/>
      <c r="N6" s="13"/>
      <c r="O6" s="13"/>
      <c r="P6" s="13"/>
      <c r="Q6" s="13"/>
      <c r="R6" s="13"/>
      <c r="S6" s="13"/>
      <c r="T6" s="13"/>
    </row>
    <row r="7" spans="1:20" x14ac:dyDescent="0.35">
      <c r="A7" s="13"/>
      <c r="B7" s="13"/>
      <c r="C7" s="13"/>
      <c r="D7" s="13"/>
      <c r="E7" s="13"/>
      <c r="F7" s="13"/>
      <c r="G7" s="13"/>
      <c r="H7" s="13"/>
      <c r="I7" s="13"/>
      <c r="J7" s="13"/>
      <c r="K7" s="13"/>
      <c r="L7" s="13"/>
      <c r="M7" s="13"/>
      <c r="N7" s="13"/>
      <c r="O7" s="13"/>
      <c r="P7" s="13"/>
      <c r="Q7" s="13"/>
      <c r="R7" s="13"/>
      <c r="S7" s="13"/>
      <c r="T7" s="13"/>
    </row>
    <row r="8" spans="1:20" x14ac:dyDescent="0.35">
      <c r="A8" s="13"/>
      <c r="B8" s="13"/>
      <c r="C8" s="13"/>
      <c r="D8" s="13"/>
      <c r="E8" s="13"/>
      <c r="F8" s="13"/>
      <c r="G8" s="13"/>
      <c r="H8" s="13"/>
      <c r="I8" s="13"/>
      <c r="J8" s="13"/>
      <c r="K8" s="13"/>
      <c r="L8" s="13"/>
      <c r="M8" s="13"/>
      <c r="N8" s="13"/>
      <c r="O8" s="13"/>
      <c r="P8" s="13"/>
      <c r="Q8" s="13"/>
      <c r="R8" s="13"/>
      <c r="S8" s="13"/>
      <c r="T8" s="13"/>
    </row>
    <row r="9" spans="1:20" x14ac:dyDescent="0.35">
      <c r="A9" s="13"/>
      <c r="B9" s="13"/>
      <c r="C9" s="13"/>
      <c r="D9" s="13"/>
      <c r="E9" s="13"/>
      <c r="F9" s="13"/>
      <c r="G9" s="13"/>
      <c r="H9" s="13"/>
      <c r="I9" s="13"/>
      <c r="J9" s="13"/>
      <c r="K9" s="13"/>
      <c r="L9" s="13"/>
      <c r="M9" s="13"/>
      <c r="N9" s="13"/>
      <c r="O9" s="13"/>
      <c r="P9" s="13"/>
      <c r="Q9" s="13"/>
      <c r="R9" s="13"/>
      <c r="S9" s="13"/>
      <c r="T9" s="13"/>
    </row>
    <row r="10" spans="1:20" x14ac:dyDescent="0.35">
      <c r="A10" s="13"/>
      <c r="B10" s="13"/>
      <c r="C10" s="13"/>
      <c r="D10" s="13"/>
      <c r="E10" s="13"/>
      <c r="F10" s="13"/>
      <c r="G10" s="13"/>
      <c r="H10" s="13"/>
      <c r="I10" s="13"/>
      <c r="J10" s="13"/>
      <c r="K10" s="13"/>
      <c r="L10" s="13"/>
      <c r="M10" s="13"/>
      <c r="N10" s="13"/>
      <c r="O10" s="13"/>
      <c r="P10" s="13"/>
      <c r="Q10" s="13"/>
      <c r="R10" s="13"/>
      <c r="S10" s="13"/>
      <c r="T10" s="13"/>
    </row>
    <row r="11" spans="1:20" x14ac:dyDescent="0.35">
      <c r="A11" s="13"/>
      <c r="B11" s="13"/>
      <c r="C11" s="13"/>
      <c r="D11" s="13"/>
      <c r="E11" s="13"/>
      <c r="F11" s="13"/>
      <c r="G11" s="13"/>
      <c r="H11" s="13"/>
      <c r="I11" s="13"/>
      <c r="J11" s="13"/>
      <c r="K11" s="13"/>
      <c r="L11" s="13"/>
      <c r="M11" s="13"/>
      <c r="N11" s="13"/>
      <c r="O11" s="13"/>
      <c r="P11" s="13"/>
      <c r="Q11" s="13"/>
      <c r="R11" s="13"/>
      <c r="S11" s="13"/>
      <c r="T11" s="13"/>
    </row>
    <row r="12" spans="1:20" x14ac:dyDescent="0.35">
      <c r="A12" s="13"/>
      <c r="B12" s="13"/>
      <c r="C12" s="13"/>
      <c r="D12" s="13"/>
      <c r="E12" s="13"/>
      <c r="F12" s="13"/>
      <c r="G12" s="13"/>
      <c r="H12" s="13"/>
      <c r="I12" s="13"/>
      <c r="J12" s="13"/>
      <c r="K12" s="13"/>
      <c r="L12" s="13"/>
      <c r="M12" s="13"/>
      <c r="N12" s="13"/>
      <c r="O12" s="13"/>
      <c r="P12" s="13"/>
      <c r="Q12" s="13"/>
      <c r="R12" s="13"/>
      <c r="S12" s="13"/>
      <c r="T12" s="13"/>
    </row>
    <row r="13" spans="1:20" x14ac:dyDescent="0.35">
      <c r="A13" s="13"/>
      <c r="B13" s="13"/>
      <c r="C13" s="13"/>
      <c r="D13" s="13"/>
      <c r="E13" s="13"/>
      <c r="F13" s="13"/>
      <c r="G13" s="13"/>
      <c r="H13" s="13"/>
      <c r="I13" s="13"/>
      <c r="J13" s="13"/>
      <c r="K13" s="13"/>
      <c r="L13" s="13"/>
      <c r="M13" s="13"/>
      <c r="N13" s="13"/>
      <c r="O13" s="13"/>
      <c r="P13" s="13"/>
      <c r="Q13" s="13"/>
      <c r="R13" s="13"/>
      <c r="S13" s="13"/>
      <c r="T13" s="13"/>
    </row>
    <row r="14" spans="1:20" x14ac:dyDescent="0.35">
      <c r="A14" s="13"/>
      <c r="B14" s="13"/>
      <c r="C14" s="13"/>
      <c r="D14" s="13"/>
      <c r="E14" s="13"/>
      <c r="F14" s="13"/>
      <c r="G14" s="13"/>
      <c r="H14" s="13"/>
      <c r="I14" s="13"/>
      <c r="J14" s="13"/>
      <c r="K14" s="13"/>
      <c r="L14" s="13"/>
      <c r="M14" s="13"/>
      <c r="N14" s="13"/>
      <c r="O14" s="13"/>
      <c r="P14" s="13"/>
      <c r="Q14" s="13"/>
      <c r="R14" s="13"/>
      <c r="S14" s="13"/>
      <c r="T14" s="13"/>
    </row>
    <row r="15" spans="1:20" x14ac:dyDescent="0.35">
      <c r="A15" s="13"/>
      <c r="B15" s="13"/>
      <c r="C15" s="13"/>
      <c r="D15" s="13"/>
      <c r="E15" s="13"/>
      <c r="F15" s="13"/>
      <c r="G15" s="13"/>
      <c r="H15" s="13"/>
      <c r="I15" s="13"/>
      <c r="J15" s="13"/>
      <c r="K15" s="13"/>
      <c r="L15" s="13"/>
      <c r="M15" s="13"/>
      <c r="N15" s="13"/>
      <c r="O15" s="13"/>
      <c r="P15" s="13"/>
      <c r="Q15" s="13"/>
      <c r="R15" s="13"/>
      <c r="S15" s="13"/>
      <c r="T15" s="13"/>
    </row>
    <row r="16" spans="1:20" x14ac:dyDescent="0.35">
      <c r="A16" s="13"/>
      <c r="B16" s="13"/>
      <c r="C16" s="13"/>
      <c r="D16" s="13"/>
      <c r="E16" s="13"/>
      <c r="F16" s="13"/>
      <c r="G16" s="13"/>
      <c r="H16" s="13"/>
      <c r="I16" s="13"/>
      <c r="J16" s="13"/>
      <c r="K16" s="13"/>
      <c r="L16" s="13"/>
      <c r="M16" s="13"/>
      <c r="N16" s="13"/>
      <c r="O16" s="13"/>
      <c r="P16" s="13"/>
      <c r="Q16" s="13"/>
      <c r="R16" s="13"/>
      <c r="S16" s="13"/>
      <c r="T16" s="13"/>
    </row>
    <row r="17" spans="1:20" x14ac:dyDescent="0.35">
      <c r="A17" s="13"/>
      <c r="B17" s="13"/>
      <c r="C17" s="13"/>
      <c r="D17" s="13"/>
      <c r="E17" s="13"/>
      <c r="F17" s="13"/>
      <c r="G17" s="13"/>
      <c r="H17" s="13"/>
      <c r="I17" s="13"/>
      <c r="J17" s="13"/>
      <c r="K17" s="13"/>
      <c r="L17" s="13"/>
      <c r="M17" s="13"/>
      <c r="N17" s="13"/>
      <c r="O17" s="13"/>
      <c r="P17" s="13"/>
      <c r="Q17" s="13"/>
      <c r="R17" s="13"/>
      <c r="S17" s="13"/>
      <c r="T17" s="13"/>
    </row>
    <row r="18" spans="1:20" x14ac:dyDescent="0.35">
      <c r="A18" s="13"/>
      <c r="B18" s="13"/>
      <c r="C18" s="13"/>
      <c r="D18" s="13"/>
      <c r="E18" s="13"/>
      <c r="F18" s="13"/>
      <c r="G18" s="13"/>
      <c r="H18" s="13"/>
      <c r="I18" s="13"/>
      <c r="J18" s="13"/>
      <c r="K18" s="13"/>
      <c r="L18" s="13"/>
      <c r="M18" s="13"/>
      <c r="N18" s="13"/>
      <c r="O18" s="13"/>
      <c r="P18" s="13"/>
      <c r="Q18" s="13"/>
      <c r="R18" s="13"/>
      <c r="S18" s="13"/>
      <c r="T18" s="13"/>
    </row>
    <row r="19" spans="1:20" x14ac:dyDescent="0.35">
      <c r="A19" s="13"/>
      <c r="B19" s="13"/>
      <c r="C19" s="13"/>
      <c r="D19" s="13"/>
      <c r="E19" s="13"/>
      <c r="F19" s="13"/>
      <c r="G19" s="13"/>
      <c r="H19" s="13"/>
      <c r="I19" s="13"/>
      <c r="J19" s="13"/>
      <c r="K19" s="13"/>
      <c r="L19" s="13"/>
      <c r="M19" s="13"/>
      <c r="N19" s="13"/>
      <c r="O19" s="13"/>
      <c r="P19" s="13"/>
      <c r="Q19" s="13"/>
      <c r="R19" s="13"/>
      <c r="S19" s="13"/>
      <c r="T19" s="13"/>
    </row>
    <row r="20" spans="1:20" x14ac:dyDescent="0.35">
      <c r="A20" s="13"/>
      <c r="B20" s="13"/>
      <c r="C20" s="13"/>
      <c r="D20" s="13"/>
      <c r="E20" s="13"/>
      <c r="F20" s="13"/>
      <c r="G20" s="13"/>
      <c r="H20" s="13"/>
      <c r="I20" s="13"/>
      <c r="J20" s="13"/>
      <c r="K20" s="13"/>
      <c r="L20" s="13"/>
      <c r="M20" s="13"/>
      <c r="N20" s="13"/>
      <c r="O20" s="13"/>
      <c r="P20" s="13"/>
      <c r="Q20" s="13"/>
      <c r="R20" s="13"/>
      <c r="S20" s="13"/>
      <c r="T20" s="13"/>
    </row>
    <row r="21" spans="1:20" x14ac:dyDescent="0.35">
      <c r="A21" s="13"/>
      <c r="B21" s="13"/>
      <c r="C21" s="13"/>
      <c r="D21" s="13"/>
      <c r="E21" s="13"/>
      <c r="F21" s="13"/>
      <c r="G21" s="13"/>
      <c r="H21" s="13"/>
      <c r="I21" s="13"/>
      <c r="J21" s="13"/>
      <c r="K21" s="13"/>
      <c r="L21" s="13"/>
      <c r="M21" s="13"/>
      <c r="N21" s="13"/>
      <c r="O21" s="13"/>
      <c r="P21" s="13"/>
      <c r="Q21" s="13"/>
      <c r="R21" s="13"/>
      <c r="S21" s="13"/>
      <c r="T21" s="13"/>
    </row>
    <row r="22" spans="1:20" x14ac:dyDescent="0.35">
      <c r="A22" s="13"/>
      <c r="B22" s="13"/>
      <c r="C22" s="13"/>
      <c r="D22" s="13"/>
      <c r="E22" s="13"/>
      <c r="F22" s="13"/>
      <c r="G22" s="13"/>
      <c r="H22" s="13"/>
      <c r="I22" s="13"/>
      <c r="J22" s="13"/>
      <c r="K22" s="13"/>
      <c r="L22" s="13"/>
      <c r="M22" s="13"/>
      <c r="N22" s="13"/>
      <c r="O22" s="13"/>
      <c r="P22" s="13"/>
      <c r="Q22" s="13"/>
      <c r="R22" s="13"/>
      <c r="S22" s="13"/>
      <c r="T22" s="13"/>
    </row>
    <row r="23" spans="1:20" x14ac:dyDescent="0.35">
      <c r="A23" s="13"/>
      <c r="B23" s="13"/>
      <c r="C23" s="13"/>
      <c r="D23" s="13"/>
      <c r="E23" s="13"/>
      <c r="F23" s="13"/>
      <c r="G23" s="13"/>
      <c r="H23" s="13"/>
      <c r="I23" s="13"/>
      <c r="J23" s="13"/>
      <c r="K23" s="13"/>
      <c r="L23" s="13"/>
      <c r="M23" s="13"/>
      <c r="N23" s="13"/>
      <c r="O23" s="13"/>
      <c r="P23" s="13"/>
      <c r="Q23" s="13"/>
      <c r="R23" s="13"/>
      <c r="S23" s="13"/>
      <c r="T23" s="13"/>
    </row>
    <row r="24" spans="1:20" x14ac:dyDescent="0.35">
      <c r="A24" s="13"/>
      <c r="B24" s="13"/>
      <c r="C24" s="13"/>
      <c r="D24" s="13"/>
      <c r="E24" s="13"/>
      <c r="F24" s="13"/>
      <c r="G24" s="13"/>
      <c r="H24" s="13"/>
      <c r="I24" s="13"/>
      <c r="J24" s="13"/>
      <c r="K24" s="13"/>
      <c r="L24" s="13"/>
      <c r="M24" s="13"/>
      <c r="N24" s="13"/>
      <c r="O24" s="13"/>
      <c r="P24" s="13"/>
      <c r="Q24" s="13"/>
      <c r="R24" s="13"/>
      <c r="S24" s="13"/>
      <c r="T24" s="13"/>
    </row>
    <row r="25" spans="1:20" x14ac:dyDescent="0.35">
      <c r="A25" s="13"/>
      <c r="B25" s="13"/>
      <c r="C25" s="13"/>
      <c r="D25" s="13"/>
      <c r="E25" s="13"/>
      <c r="F25" s="13"/>
      <c r="G25" s="13"/>
      <c r="H25" s="13"/>
      <c r="I25" s="13"/>
      <c r="J25" s="13"/>
      <c r="K25" s="13"/>
      <c r="L25" s="13"/>
      <c r="M25" s="13"/>
      <c r="N25" s="13"/>
      <c r="O25" s="13"/>
      <c r="P25" s="13"/>
      <c r="Q25" s="13"/>
      <c r="R25" s="13"/>
      <c r="S25" s="13"/>
      <c r="T25" s="13"/>
    </row>
    <row r="26" spans="1:20" x14ac:dyDescent="0.35">
      <c r="A26" s="13"/>
      <c r="B26" s="13"/>
      <c r="C26" s="13"/>
      <c r="D26" s="13"/>
      <c r="E26" s="13"/>
      <c r="F26" s="13"/>
      <c r="G26" s="13"/>
      <c r="H26" s="13"/>
      <c r="I26" s="13"/>
      <c r="J26" s="13"/>
      <c r="K26" s="13"/>
      <c r="L26" s="13"/>
      <c r="M26" s="13"/>
      <c r="N26" s="13"/>
      <c r="O26" s="13"/>
      <c r="P26" s="13"/>
      <c r="Q26" s="13"/>
      <c r="R26" s="13"/>
      <c r="S26" s="13"/>
      <c r="T26" s="13"/>
    </row>
    <row r="27" spans="1:20" x14ac:dyDescent="0.35">
      <c r="A27" s="13"/>
      <c r="B27" s="13"/>
      <c r="C27" s="13"/>
      <c r="D27" s="13"/>
      <c r="E27" s="13"/>
      <c r="F27" s="13"/>
      <c r="G27" s="13"/>
      <c r="H27" s="13"/>
      <c r="I27" s="13"/>
      <c r="J27" s="13"/>
      <c r="K27" s="13"/>
      <c r="L27" s="13"/>
      <c r="M27" s="13"/>
      <c r="N27" s="13"/>
      <c r="O27" s="13"/>
      <c r="P27" s="13"/>
      <c r="Q27" s="13"/>
      <c r="R27" s="13"/>
      <c r="S27" s="13"/>
      <c r="T27" s="13"/>
    </row>
    <row r="28" spans="1:20" x14ac:dyDescent="0.35">
      <c r="A28" s="13"/>
      <c r="B28" s="13"/>
      <c r="C28" s="13"/>
      <c r="D28" s="13"/>
      <c r="E28" s="13"/>
      <c r="F28" s="13"/>
      <c r="G28" s="13"/>
      <c r="H28" s="13"/>
      <c r="I28" s="13"/>
      <c r="J28" s="13"/>
      <c r="K28" s="13"/>
      <c r="L28" s="13"/>
      <c r="M28" s="13"/>
      <c r="N28" s="13"/>
      <c r="O28" s="13"/>
      <c r="P28" s="13"/>
      <c r="Q28" s="13"/>
      <c r="R28" s="13"/>
      <c r="S28" s="13"/>
      <c r="T28" s="13"/>
    </row>
    <row r="29" spans="1:20" x14ac:dyDescent="0.35">
      <c r="A29" s="13"/>
      <c r="B29" s="13"/>
      <c r="C29" s="13"/>
      <c r="D29" s="13"/>
      <c r="E29" s="13"/>
      <c r="F29" s="13"/>
      <c r="G29" s="13"/>
      <c r="H29" s="13"/>
      <c r="I29" s="13"/>
      <c r="J29" s="13"/>
      <c r="K29" s="13"/>
      <c r="L29" s="13"/>
      <c r="M29" s="13"/>
      <c r="N29" s="13"/>
      <c r="O29" s="13"/>
      <c r="P29" s="13"/>
      <c r="Q29" s="13"/>
      <c r="R29" s="13"/>
      <c r="S29" s="13"/>
      <c r="T29" s="13"/>
    </row>
    <row r="30" spans="1:20" x14ac:dyDescent="0.35">
      <c r="A30" s="13"/>
      <c r="B30" s="13"/>
      <c r="C30" s="13"/>
      <c r="D30" s="13"/>
      <c r="E30" s="13"/>
      <c r="F30" s="13"/>
      <c r="G30" s="13"/>
      <c r="H30" s="13"/>
      <c r="I30" s="13"/>
      <c r="J30" s="13"/>
      <c r="K30" s="13"/>
      <c r="L30" s="13"/>
      <c r="M30" s="13"/>
      <c r="N30" s="13"/>
      <c r="O30" s="13"/>
      <c r="P30" s="13"/>
      <c r="Q30" s="13"/>
      <c r="R30" s="13"/>
      <c r="S30" s="13"/>
      <c r="T30" s="13"/>
    </row>
    <row r="31" spans="1:20" x14ac:dyDescent="0.35">
      <c r="A31" s="13"/>
      <c r="B31" s="13"/>
      <c r="C31" s="13"/>
      <c r="D31" s="13"/>
      <c r="E31" s="13"/>
      <c r="F31" s="13"/>
      <c r="G31" s="13"/>
      <c r="H31" s="13"/>
      <c r="I31" s="13"/>
      <c r="J31" s="13"/>
      <c r="K31" s="13"/>
      <c r="L31" s="13"/>
      <c r="M31" s="13"/>
      <c r="N31" s="13"/>
      <c r="O31" s="13"/>
      <c r="P31" s="13"/>
      <c r="Q31" s="13"/>
      <c r="R31" s="13"/>
      <c r="S31" s="13"/>
      <c r="T31" s="13"/>
    </row>
    <row r="32" spans="1:20" x14ac:dyDescent="0.35">
      <c r="A32" s="13"/>
      <c r="B32" s="13"/>
      <c r="C32" s="13"/>
      <c r="D32" s="13"/>
      <c r="E32" s="13"/>
      <c r="F32" s="13"/>
      <c r="G32" s="13"/>
      <c r="H32" s="13"/>
      <c r="I32" s="13"/>
      <c r="J32" s="13"/>
      <c r="K32" s="13"/>
      <c r="L32" s="13"/>
      <c r="M32" s="13"/>
      <c r="N32" s="13"/>
      <c r="O32" s="13"/>
      <c r="P32" s="13"/>
      <c r="Q32" s="13"/>
      <c r="R32" s="13"/>
      <c r="S32" s="13"/>
      <c r="T32" s="13"/>
    </row>
    <row r="33" spans="1:20" x14ac:dyDescent="0.35">
      <c r="A33" s="13"/>
      <c r="B33" s="13"/>
      <c r="C33" s="13"/>
      <c r="D33" s="13"/>
      <c r="E33" s="13"/>
      <c r="F33" s="13"/>
      <c r="G33" s="13"/>
      <c r="H33" s="13"/>
      <c r="I33" s="13"/>
      <c r="J33" s="13"/>
      <c r="K33" s="13"/>
      <c r="L33" s="13"/>
      <c r="M33" s="13"/>
      <c r="N33" s="13"/>
      <c r="O33" s="13"/>
      <c r="P33" s="13"/>
      <c r="Q33" s="13"/>
      <c r="R33" s="13"/>
      <c r="S33" s="13"/>
      <c r="T33" s="13"/>
    </row>
    <row r="34" spans="1:20" x14ac:dyDescent="0.35">
      <c r="A34" s="13"/>
      <c r="B34" s="13"/>
      <c r="C34" s="13"/>
      <c r="D34" s="13"/>
      <c r="E34" s="13"/>
      <c r="F34" s="13"/>
      <c r="G34" s="13"/>
      <c r="H34" s="13"/>
      <c r="I34" s="13"/>
      <c r="J34" s="13"/>
      <c r="K34" s="13"/>
      <c r="L34" s="13"/>
      <c r="M34" s="13"/>
      <c r="N34" s="13"/>
      <c r="O34" s="13"/>
      <c r="P34" s="13"/>
      <c r="Q34" s="13"/>
      <c r="R34" s="13"/>
      <c r="S34" s="13"/>
      <c r="T34" s="13"/>
    </row>
    <row r="35" spans="1:20" x14ac:dyDescent="0.35">
      <c r="A35" s="13"/>
      <c r="B35" s="13"/>
      <c r="C35" s="13"/>
      <c r="D35" s="13"/>
      <c r="E35" s="13"/>
      <c r="F35" s="13"/>
      <c r="G35" s="13"/>
      <c r="H35" s="13"/>
      <c r="I35" s="13"/>
      <c r="J35" s="13"/>
      <c r="K35" s="13"/>
      <c r="L35" s="13"/>
      <c r="M35" s="13"/>
      <c r="N35" s="13"/>
      <c r="O35" s="13"/>
      <c r="P35" s="13"/>
      <c r="Q35" s="13"/>
      <c r="R35" s="13"/>
      <c r="S35" s="13"/>
      <c r="T35" s="13"/>
    </row>
    <row r="36" spans="1:20" x14ac:dyDescent="0.35">
      <c r="A36" s="13"/>
      <c r="B36" s="13"/>
      <c r="C36" s="13"/>
      <c r="D36" s="13"/>
      <c r="E36" s="13"/>
      <c r="F36" s="13"/>
      <c r="G36" s="13"/>
      <c r="H36" s="13"/>
      <c r="I36" s="13"/>
      <c r="J36" s="13"/>
      <c r="K36" s="13"/>
      <c r="L36" s="13"/>
      <c r="M36" s="13"/>
      <c r="N36" s="13"/>
      <c r="O36" s="13"/>
      <c r="P36" s="13"/>
      <c r="Q36" s="13"/>
      <c r="R36" s="13"/>
      <c r="S36" s="13"/>
      <c r="T36" s="13"/>
    </row>
    <row r="37" spans="1:20" x14ac:dyDescent="0.35">
      <c r="A37" s="13"/>
      <c r="B37" s="13"/>
      <c r="C37" s="13"/>
      <c r="D37" s="13"/>
      <c r="E37" s="13"/>
      <c r="F37" s="13"/>
      <c r="G37" s="13"/>
      <c r="H37" s="13"/>
      <c r="I37" s="13"/>
      <c r="J37" s="13"/>
      <c r="K37" s="13"/>
      <c r="L37" s="13"/>
      <c r="M37" s="13"/>
      <c r="N37" s="13"/>
      <c r="O37" s="13"/>
      <c r="P37" s="13"/>
      <c r="Q37" s="13"/>
      <c r="R37" s="13"/>
      <c r="S37" s="13"/>
      <c r="T37"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AI_Usage_and_Impact_on_Students</vt:lpstr>
      <vt:lpstr>EDA PT</vt:lpstr>
      <vt:lpstr>Time Saving analysis</vt:lpstr>
      <vt:lpstr>Productivity Analysis</vt:lpstr>
      <vt:lpstr>AI usage Patterns</vt:lpstr>
      <vt:lpstr>Demographic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 Okesola</dc:creator>
  <cp:lastModifiedBy>Francis Okesola</cp:lastModifiedBy>
  <dcterms:created xsi:type="dcterms:W3CDTF">2026-10-25T12:56:59Z</dcterms:created>
  <dcterms:modified xsi:type="dcterms:W3CDTF">2026-10-25T13:50:54Z</dcterms:modified>
</cp:coreProperties>
</file>